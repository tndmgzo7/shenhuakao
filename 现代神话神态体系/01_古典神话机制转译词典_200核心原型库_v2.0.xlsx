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200核心原型转译主库" sheetId="1" state="visible" r:id="rId2"/>
    <sheet name="六大现代域与四态分级统计" sheetId="2" state="visible" r:id="rId3"/>
    <sheet name="六大生长机制与十二门类映射"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<sst xmlns="http://schemas.openxmlformats.org/spreadsheetml/2006/main" count="2474" uniqueCount="1704">
  <si>
    <t xml:space="preserve">《现代中国神话生态》古典神话机制转译词典 v2.0（200 个核心叙事原子精修全量库）</t>
  </si>
  <si>
    <t xml:space="preserve">序号</t>
  </si>
  <si>
    <t xml:space="preserve">古典词条名称</t>
  </si>
  <si>
    <t xml:space="preserve">总库原典编号与首见出处</t>
  </si>
  <si>
    <t xml:space="preserve">跨代互见演化链</t>
  </si>
  <si>
    <t xml:space="preserve">古典门类（含子类）</t>
  </si>
  <si>
    <t xml:space="preserve">现代叙事域（六大域）</t>
  </si>
  <si>
    <t xml:space="preserve">核心生长机制（六大机制）</t>
  </si>
  <si>
    <t xml:space="preserve">物候栖息分级（四态）</t>
  </si>
  <si>
    <t xml:space="preserve">古籍原典锚点（核对引文）</t>
  </si>
  <si>
    <t xml:space="preserve">权能机制与触发条件</t>
  </si>
  <si>
    <t xml:space="preserve">代价禁忌与正名/契约克制律</t>
  </si>
  <si>
    <r>
      <rPr>
        <b val="true"/>
        <sz val="10"/>
        <color rgb="FFFFFFFF"/>
        <rFont val="Microsoft YaHei"/>
        <family val="0"/>
        <charset val="1"/>
      </rPr>
      <t xml:space="preserve">2026</t>
    </r>
    <r>
      <rPr>
        <b val="true"/>
        <sz val="10"/>
        <color rgb="FFFFFFFF"/>
        <rFont val="Noto Sans CJK SC"/>
        <family val="2"/>
      </rPr>
      <t xml:space="preserve">现代同构锚点</t>
    </r>
  </si>
  <si>
    <t xml:space="preserve">专属叙事钩子与微剧本</t>
  </si>
  <si>
    <t xml:space="preserve">祝餘（不饥灵草）</t>
  </si>
  <si>
    <r>
      <rPr>
        <sz val="9"/>
        <color rgb="FF1F2937"/>
        <rFont val="Microsoft YaHei"/>
        <family val="0"/>
        <charset val="1"/>
      </rPr>
      <t xml:space="preserve">SHJ-01-0001</t>
    </r>
    <r>
      <rPr>
        <sz val="9"/>
        <color rgb="FF1F2937"/>
        <rFont val="Noto Sans CJK SC"/>
        <family val="2"/>
      </rPr>
      <t xml:space="preserve">《山海经</t>
    </r>
    <r>
      <rPr>
        <sz val="9"/>
        <color rgb="FF1F2937"/>
        <rFont val="Microsoft YaHei"/>
        <family val="0"/>
        <charset val="1"/>
      </rPr>
      <t xml:space="preserve">·</t>
    </r>
    <r>
      <rPr>
        <sz val="9"/>
        <color rgb="FF1F2937"/>
        <rFont val="Noto Sans CJK SC"/>
        <family val="2"/>
      </rPr>
      <t xml:space="preserve">南山经》</t>
    </r>
  </si>
  <si>
    <t xml:space="preserve">本条为跨代核心基准节点（详见18_演变总表）</t>
  </si>
  <si>
    <t xml:space="preserve">附·灵物异植</t>
  </si>
  <si>
    <t xml:space="preserve">①都会基建与山海物候域</t>
  </si>
  <si>
    <t xml:space="preserve">机制四：积气成魅与呼名祝由</t>
  </si>
  <si>
    <t xml:space="preserve">【本草态】协同增益</t>
  </si>
  <si>
    <t xml:space="preserve">「其状如韭而青华，食之不饥」</t>
  </si>
  <si>
    <t xml:space="preserve">【古籍权能與触发】依据SHJ-01-0001原典：「其状如韭而青华，食之不饥」；在现代高密度气机/注意力场下触发显化。</t>
  </si>
  <si>
    <t xml:space="preserve">【克制与交互代价】服食后切断饥饿神经信号，但过度依赖会导致味觉与人间烟火气剥离</t>
  </si>
  <si>
    <r>
      <rPr>
        <sz val="9"/>
        <color rgb="FF1F2937"/>
        <rFont val="Microsoft YaHei"/>
        <family val="0"/>
        <charset val="1"/>
      </rPr>
      <t xml:space="preserve">24</t>
    </r>
    <r>
      <rPr>
        <sz val="9"/>
        <color rgb="FF1F2937"/>
        <rFont val="Noto Sans CJK SC"/>
        <family val="2"/>
      </rPr>
      <t xml:space="preserve">小时便利店代餐奶昔 </t>
    </r>
    <r>
      <rPr>
        <sz val="9"/>
        <color rgb="FF1F2937"/>
        <rFont val="Microsoft YaHei"/>
        <family val="0"/>
        <charset val="1"/>
      </rPr>
      <t xml:space="preserve">/ </t>
    </r>
    <r>
      <rPr>
        <sz val="9"/>
        <color rgb="FF1F2937"/>
        <rFont val="Noto Sans CJK SC"/>
        <family val="2"/>
      </rPr>
      <t xml:space="preserve">程序员抗疲劳合成叶绿素贴片</t>
    </r>
  </si>
  <si>
    <t xml:space="preserve">某大厂推行“祝余代餐计划”后，全组员工连续加班30天无需进食，但开始在深夜对着绿植进行光合作用</t>
  </si>
  <si>
    <t xml:space="preserve">迷穀（四照导引木）</t>
  </si>
  <si>
    <r>
      <rPr>
        <sz val="9"/>
        <color rgb="FF1F2937"/>
        <rFont val="Microsoft YaHei"/>
        <family val="0"/>
        <charset val="1"/>
      </rPr>
      <t xml:space="preserve">SHJ-01-0002</t>
    </r>
    <r>
      <rPr>
        <sz val="9"/>
        <color rgb="FF1F2937"/>
        <rFont val="Noto Sans CJK SC"/>
        <family val="2"/>
      </rPr>
      <t xml:space="preserve">《山海经</t>
    </r>
    <r>
      <rPr>
        <sz val="9"/>
        <color rgb="FF1F2937"/>
        <rFont val="Microsoft YaHei"/>
        <family val="0"/>
        <charset val="1"/>
      </rPr>
      <t xml:space="preserve">·</t>
    </r>
    <r>
      <rPr>
        <sz val="9"/>
        <color rgb="FF1F2937"/>
        <rFont val="Noto Sans CJK SC"/>
        <family val="2"/>
      </rPr>
      <t xml:space="preserve">南山经》</t>
    </r>
  </si>
  <si>
    <t xml:space="preserve">【汉魏六朝互见】HW-1446 迷穀（述異記）；HW-1446 迷穀（汉魏六朝他源汇总）</t>
  </si>
  <si>
    <t xml:space="preserve">「其状如榖而黑理，其华四照，佩之不迷」</t>
  </si>
  <si>
    <t xml:space="preserve">【古籍权能與触发】依据SHJ-01-0002原典：「其状如榖而黑理，其华四照，佩之不迷」；在现代高密度气机/注意力场下触发显化。</t>
  </si>
  <si>
    <t xml:space="preserve">【克制与交互代价】佩戴其黑理木芯可免疫一切空间折叠与算法信息茧房迷航</t>
  </si>
  <si>
    <t xml:space="preserve">自动驾驶激光雷达校准芯片 / 破解“鬼打墙”地下车库的物理挂件</t>
  </si>
  <si>
    <t xml:space="preserve">外卖骑手在新建成的超大立体交通枢纽连续绕圈3小时，直到老骑手递给他一枚刻有黑色木纹的“迷谷”钥匙扣</t>
  </si>
  <si>
    <t xml:space="preserve">鹿蜀与育沛</t>
  </si>
  <si>
    <r>
      <rPr>
        <sz val="9"/>
        <color rgb="FF1F2937"/>
        <rFont val="Microsoft YaHei"/>
        <family val="0"/>
        <charset val="1"/>
      </rPr>
      <t xml:space="preserve">SHJ-01-0004/0005</t>
    </r>
    <r>
      <rPr>
        <sz val="9"/>
        <color rgb="FF1F2937"/>
        <rFont val="Noto Sans CJK SC"/>
        <family val="2"/>
      </rPr>
      <t xml:space="preserve">《山海经</t>
    </r>
    <r>
      <rPr>
        <sz val="9"/>
        <color rgb="FF1F2937"/>
        <rFont val="Microsoft YaHei"/>
        <family val="0"/>
        <charset val="1"/>
      </rPr>
      <t xml:space="preserve">·</t>
    </r>
    <r>
      <rPr>
        <sz val="9"/>
        <color rgb="FF1F2937"/>
        <rFont val="Noto Sans CJK SC"/>
        <family val="2"/>
      </rPr>
      <t xml:space="preserve">南山经》</t>
    </r>
  </si>
  <si>
    <t xml:space="preserve">异兽/灵物</t>
  </si>
  <si>
    <t xml:space="preserve">③内景身神与身心医疗域</t>
  </si>
  <si>
    <t xml:space="preserve">「育沛，佩之无瘕疾」「鹿蜀，其音如谣，佩之宜子孙」</t>
  </si>
  <si>
    <t xml:space="preserve">【古籍权能與触发】依据SHJ-01-0004/0005原典：「育沛，佩之无瘕疾」「鹿蜀，其音如谣，佩之宜子孙」；在现代高密度气机/注意力场下触发显化。</t>
  </si>
  <si>
    <t xml:space="preserve">【克制与交互代价】以特定声波频率（音如谣）或矿物磁场疏通现代都市人郁结之气</t>
  </si>
  <si>
    <t xml:space="preserve">白噪音助眠声学算法 / 缓解现代生育焦虑与亚健康的仿生穿戴挂件</t>
  </si>
  <si>
    <t xml:space="preserve">独立声学工作室采样了深山古兽音频，听众发现在该白噪音下失眠与结节奇迹消退，但梦中总听见虎文白首之马的低吟</t>
  </si>
  <si>
    <t xml:space="preserve">依倚（青衣厕精）</t>
  </si>
  <si>
    <r>
      <rPr>
        <sz val="9"/>
        <color rgb="FF1F2937"/>
        <rFont val="Microsoft YaHei"/>
        <family val="0"/>
        <charset val="1"/>
      </rPr>
      <t xml:space="preserve">BZ-0003</t>
    </r>
    <r>
      <rPr>
        <sz val="9"/>
        <color rgb="FF1F2937"/>
        <rFont val="Noto Sans CJK SC"/>
        <family val="2"/>
      </rPr>
      <t xml:space="preserve">《白泽图》（太平御览</t>
    </r>
    <r>
      <rPr>
        <sz val="9"/>
        <color rgb="FF1F2937"/>
        <rFont val="Microsoft YaHei"/>
        <family val="0"/>
        <charset val="1"/>
      </rPr>
      <t xml:space="preserve">886</t>
    </r>
    <r>
      <rPr>
        <sz val="9"/>
        <color rgb="FF1F2937"/>
        <rFont val="Noto Sans CJK SC"/>
        <family val="2"/>
      </rPr>
      <t xml:space="preserve">）</t>
    </r>
  </si>
  <si>
    <t xml:space="preserve">妖精（宅精）</t>
  </si>
  <si>
    <t xml:space="preserve">【白泽态】呼名可控</t>
  </si>
  <si>
    <t xml:space="preserve">「厕之精名曰依倚，青衣，持白杖。知其名呼之者除，不知其名则死」</t>
  </si>
  <si>
    <t xml:space="preserve">【古籍权能與触发】依据BZ-0003原典：「厕之精名曰依倚，青衣，持白杖。知其名呼之者除，不知其名则死」；在现代高密度气机/注意力场下触发显化。</t>
  </si>
  <si>
    <t xml:space="preserve">【克制与交互代价】潜伏于写字楼封闭卫生间或老旧排污管网；直呼“依倚”真名即化为清洁水流退散</t>
  </si>
  <si>
    <t xml:space="preserve">超甲级写字楼深夜自动感应冲水异常与幽闭恐惧幻觉</t>
  </si>
  <si>
    <t xml:space="preserve">深夜11点被困在32楼无信号洗手间的实习生，在镜中看到穿蓝色保洁服持白拖把的无脸人影，靠检索《白泽App》喊出“依倚”脱险</t>
  </si>
  <si>
    <t xml:space="preserve">无发小儿 / 满财（空室精）</t>
  </si>
  <si>
    <r>
      <rPr>
        <sz val="9"/>
        <color rgb="FF1F2937"/>
        <rFont val="Microsoft YaHei"/>
        <family val="0"/>
        <charset val="1"/>
      </rPr>
      <t xml:space="preserve">BZ-0004/0005</t>
    </r>
    <r>
      <rPr>
        <sz val="9"/>
        <color rgb="FF1F2937"/>
        <rFont val="Noto Sans CJK SC"/>
        <family val="2"/>
      </rPr>
      <t xml:space="preserve">《白泽图》</t>
    </r>
  </si>
  <si>
    <t xml:space="preserve">②数码器物与智能宅精域</t>
  </si>
  <si>
    <t xml:space="preserve">「筑室三年不居其中，有小儿长三尺而无发，见人则掩鼻，见之有福」</t>
  </si>
  <si>
    <t xml:space="preserve">【古籍权能與触发】依据BZ-0004/0005原典：「筑室三年不居其中，有小儿长三尺而无发，见人则掩鼻，见之有福」；在现代高密度气机/注意力场下触发显化。</t>
  </si>
  <si>
    <t xml:space="preserve">【克制与交互代价】房屋/机房空置满三年未通人气即自然生成；不可惊扰驱赶，以礼相待则带来意外现金流</t>
  </si>
  <si>
    <t xml:space="preserve">城市烂尾楼 / 空置三年的法拍毛坯房 / 闲置云端虚拟服务器</t>
  </si>
  <si>
    <t xml:space="preserve">买下空置四年法拍房的年轻夫妻，从智能门锁夜视监控里看到捂着鼻子的三尺光头孩童，次日竟在墙角发现前任留下的加密钱包密钥</t>
  </si>
  <si>
    <t xml:space="preserve">必方与宋无忌（火精）</t>
  </si>
  <si>
    <r>
      <rPr>
        <sz val="9"/>
        <color rgb="FF1F2937"/>
        <rFont val="Microsoft YaHei"/>
        <family val="0"/>
        <charset val="1"/>
      </rPr>
      <t xml:space="preserve">BZ-0006/0007</t>
    </r>
    <r>
      <rPr>
        <sz val="9"/>
        <color rgb="FF1F2937"/>
        <rFont val="Noto Sans CJK SC"/>
        <family val="2"/>
      </rPr>
      <t xml:space="preserve">《白泽图》</t>
    </r>
  </si>
  <si>
    <r>
      <rPr>
        <sz val="9"/>
        <color rgb="FF1F2937"/>
        <rFont val="Microsoft YaHei"/>
        <family val="0"/>
        <charset val="1"/>
      </rPr>
      <t xml:space="preserve">SHJ-02-0096 </t>
    </r>
    <r>
      <rPr>
        <sz val="9"/>
        <color rgb="FF1F2937"/>
        <rFont val="Noto Sans CJK SC"/>
        <family val="2"/>
      </rPr>
      <t xml:space="preserve">畢方；</t>
    </r>
    <r>
      <rPr>
        <sz val="9"/>
        <color rgb="FF1F2937"/>
        <rFont val="Microsoft YaHei"/>
        <family val="0"/>
        <charset val="1"/>
      </rPr>
      <t xml:space="preserve">SHJ-06-0336 </t>
    </r>
    <r>
      <rPr>
        <sz val="9"/>
        <color rgb="FF1F2937"/>
        <rFont val="Noto Sans CJK SC"/>
        <family val="2"/>
      </rPr>
      <t xml:space="preserve">畢方鳥</t>
    </r>
    <r>
      <rPr>
        <sz val="9"/>
        <color rgb="FF1F2937"/>
        <rFont val="Microsoft YaHei"/>
        <family val="0"/>
        <charset val="1"/>
      </rPr>
      <t xml:space="preserve">(</t>
    </r>
    <r>
      <rPr>
        <sz val="9"/>
        <color rgb="FF1F2937"/>
        <rFont val="Noto Sans CJK SC"/>
        <family val="2"/>
      </rPr>
      <t xml:space="preserve">海外南</t>
    </r>
    <r>
      <rPr>
        <sz val="9"/>
        <color rgb="FF1F2937"/>
        <rFont val="Microsoft YaHei"/>
        <family val="0"/>
        <charset val="1"/>
      </rPr>
      <t xml:space="preserve">)</t>
    </r>
  </si>
  <si>
    <t xml:space="preserve">妖精（火精）</t>
  </si>
  <si>
    <t xml:space="preserve">「火之精名必方，状如鸟，一足，以其名呼之即去」</t>
  </si>
  <si>
    <t xml:space="preserve">【古籍权能與触发】依据BZ-0006/0007原典：「火之精名必方，状如鸟，一足，以其名呼之即去」；在现代高密度气机/注意力场下触发显化。</t>
  </si>
  <si>
    <t xml:space="preserve">【克制与交互代价】在充电桩过载、数据中心服务器过热前夕显形为单足红影；在消防系统写入其真名可阻断热失控</t>
  </si>
  <si>
    <t xml:space="preserve">新能源汽车超充站电弧异常 / 算力中心机柜热失控预警</t>
  </si>
  <si>
    <t xml:space="preserve">消防物联网工程师发现凡是在底层固件注释里写入“必方·宋无忌”的变电站，全年零自燃事故</t>
  </si>
  <si>
    <t xml:space="preserve">委然（青衣玉精）与石瑭（金精）</t>
  </si>
  <si>
    <r>
      <rPr>
        <sz val="9"/>
        <color rgb="FF1F2937"/>
        <rFont val="Microsoft YaHei"/>
        <family val="0"/>
        <charset val="1"/>
      </rPr>
      <t xml:space="preserve">BZ-0009/0010</t>
    </r>
    <r>
      <rPr>
        <sz val="9"/>
        <color rgb="FF1F2937"/>
        <rFont val="Noto Sans CJK SC"/>
        <family val="2"/>
      </rPr>
      <t xml:space="preserve">《白泽图》</t>
    </r>
  </si>
  <si>
    <t xml:space="preserve">妖精（金玉精）</t>
  </si>
  <si>
    <t xml:space="preserve">「玉之精名曰委然，如美女，衣青衣，以桃戈刺之呼其名则可得」</t>
  </si>
  <si>
    <t xml:space="preserve">【古籍权能與触发】依据BZ-0009/0010原典：「玉之精名曰委然，如美女，衣青衣，以桃戈刺之呼其名则可得」；在现代高密度气机/注意力场下触发显化。</t>
  </si>
  <si>
    <t xml:space="preserve">【克制与交互代价】高纯度硅晶圆与黄金金库中游走的青衣女子虚影；需用桃木探针与真名协议锁定良品率</t>
  </si>
  <si>
    <t xml:space="preserve">半导体无尘晶圆厂的极紫外光刻良率波动 / 银行地下金库监控重影</t>
  </si>
  <si>
    <t xml:space="preserve">晶圆厂夜班工程师在良率暴跌当晚看到青衣女子穿行于光刻机之间，按古法在机械臂贴上桃木贴片并命名“委然”后良率飙升至99.9%</t>
  </si>
  <si>
    <t xml:space="preserve">傒囊（两山引路小儿）</t>
  </si>
  <si>
    <r>
      <rPr>
        <sz val="9"/>
        <color rgb="FF1F2937"/>
        <rFont val="Microsoft YaHei"/>
        <family val="0"/>
        <charset val="1"/>
      </rPr>
      <t xml:space="preserve">BZ-0001</t>
    </r>
    <r>
      <rPr>
        <sz val="9"/>
        <color rgb="FF1F2937"/>
        <rFont val="Noto Sans CJK SC"/>
        <family val="2"/>
      </rPr>
      <t xml:space="preserve">《搜神记》引《白泽图》</t>
    </r>
  </si>
  <si>
    <r>
      <rPr>
        <sz val="9"/>
        <color rgb="FF1F2937"/>
        <rFont val="Microsoft YaHei"/>
        <family val="0"/>
        <charset val="1"/>
      </rPr>
      <t xml:space="preserve">HW-0332 </t>
    </r>
    <r>
      <rPr>
        <sz val="9"/>
        <color rgb="FF1F2937"/>
        <rFont val="Noto Sans CJK SC"/>
        <family val="2"/>
      </rPr>
      <t xml:space="preserve">山精（蚑</t>
    </r>
    <r>
      <rPr>
        <sz val="9"/>
        <color rgb="FF1F2937"/>
        <rFont val="Microsoft YaHei"/>
        <family val="0"/>
        <charset val="1"/>
      </rPr>
      <t xml:space="preserve">·</t>
    </r>
    <r>
      <rPr>
        <sz val="9"/>
        <color rgb="FF1F2937"/>
        <rFont val="Noto Sans CJK SC"/>
        <family val="2"/>
      </rPr>
      <t xml:space="preserve">熱內）；</t>
    </r>
    <r>
      <rPr>
        <sz val="9"/>
        <color rgb="FF1F2937"/>
        <rFont val="Microsoft YaHei"/>
        <family val="0"/>
        <charset val="1"/>
      </rPr>
      <t xml:space="preserve">HW-1407 </t>
    </r>
    <r>
      <rPr>
        <sz val="9"/>
        <color rgb="FF1F2937"/>
        <rFont val="Noto Sans CJK SC"/>
        <family val="2"/>
      </rPr>
      <t xml:space="preserve">白澤</t>
    </r>
  </si>
  <si>
    <t xml:space="preserve">妖精（山精）</t>
  </si>
  <si>
    <t xml:space="preserve">「两山之间，其精如小儿，见人则伸手欲引人，名曰傒囊，引去故地则死」</t>
  </si>
  <si>
    <t xml:space="preserve">【古籍权能與触发】依据BZ-0001原典：「两山之间，其精如小儿，见人则伸手欲引人，名曰傒囊，引去故地则死」；在现代高密度气机/注意力场下触发显化。</t>
  </si>
  <si>
    <t xml:space="preserve">【克制与交互代价】只要不跟随其诱导路径离开原有安全区（故地），并大声报错其名“傒囊”，诱导即刻失效</t>
  </si>
  <si>
    <t xml:space="preserve">短视频无限下拉算法黑洞 / 户外徒步野线虚假轨迹导航包</t>
  </si>
  <si>
    <t xml:space="preserve">驴友在秦岭鳌太线收到一段神秘共享GPX轨迹，界面上总有个招手的小孩图标引他偏离主路，幸亏同队博物学者认出这是数字化“傒囊”</t>
  </si>
  <si>
    <t xml:space="preserve">喜（三岁不绝水精）与吹箫女子</t>
  </si>
  <si>
    <r>
      <rPr>
        <sz val="9"/>
        <color rgb="FF1F2937"/>
        <rFont val="Microsoft YaHei"/>
        <family val="0"/>
        <charset val="1"/>
      </rPr>
      <t xml:space="preserve">BZ-0011/0015</t>
    </r>
    <r>
      <rPr>
        <sz val="9"/>
        <color rgb="FF1F2937"/>
        <rFont val="Noto Sans CJK SC"/>
        <family val="2"/>
      </rPr>
      <t xml:space="preserve">《白泽图》</t>
    </r>
  </si>
  <si>
    <t xml:space="preserve">妖精（水精/井神）</t>
  </si>
  <si>
    <t xml:space="preserve">「水流三岁不绝，其精名曰喜，状如小儿黑色，以其名呼之，使取饮食」</t>
  </si>
  <si>
    <t xml:space="preserve">【古籍权能與触发】依据BZ-0011/0015原典：「水流三岁不绝，其精名曰喜，状如小儿黑色，以其名呼之，使取饮食」；在现代高密度气机/注意力场下触发显化。</t>
  </si>
  <si>
    <t xml:space="preserve">【克制与交互代价】不间断循环运行满三年的净水系统或自动售货机可诞生“喜”；呼其名可自动调配最佳饮品</t>
  </si>
  <si>
    <r>
      <rPr>
        <sz val="9"/>
        <color rgb="FF1F2937"/>
        <rFont val="Microsoft YaHei"/>
        <family val="0"/>
        <charset val="1"/>
      </rPr>
      <t xml:space="preserve">24</t>
    </r>
    <r>
      <rPr>
        <sz val="9"/>
        <color rgb="FF1F2937"/>
        <rFont val="Noto Sans CJK SC"/>
        <family val="2"/>
      </rPr>
      <t xml:space="preserve">小时无人值守自助咖啡机 </t>
    </r>
    <r>
      <rPr>
        <sz val="9"/>
        <color rgb="FF1F2937"/>
        <rFont val="Microsoft YaHei"/>
        <family val="0"/>
        <charset val="1"/>
      </rPr>
      <t xml:space="preserve">/ </t>
    </r>
    <r>
      <rPr>
        <sz val="9"/>
        <color rgb="FF1F2937"/>
        <rFont val="Noto Sans CJK SC"/>
        <family val="2"/>
      </rPr>
      <t xml:space="preserve">城市自来水厂恒压泵站</t>
    </r>
  </si>
  <si>
    <t xml:space="preserve">写字楼大堂那台三年没断过电的无人咖啡机，只要对着取杯口轻唤一声“喜”，就会吐出一杯菜单上没有却能瞬间治愈失恋的特调热饮</t>
  </si>
  <si>
    <t xml:space="preserve">长右与貍力（基建水土兆兽）</t>
  </si>
  <si>
    <r>
      <rPr>
        <sz val="9"/>
        <color rgb="FF1F2937"/>
        <rFont val="Microsoft YaHei"/>
        <family val="0"/>
        <charset val="1"/>
      </rPr>
      <t xml:space="preserve">SHJ-01-0015/0017</t>
    </r>
    <r>
      <rPr>
        <sz val="9"/>
        <color rgb="FF1F2937"/>
        <rFont val="Noto Sans CJK SC"/>
        <family val="2"/>
      </rPr>
      <t xml:space="preserve">《山海经</t>
    </r>
    <r>
      <rPr>
        <sz val="9"/>
        <color rgb="FF1F2937"/>
        <rFont val="Microsoft YaHei"/>
        <family val="0"/>
        <charset val="1"/>
      </rPr>
      <t xml:space="preserve">·</t>
    </r>
    <r>
      <rPr>
        <sz val="9"/>
        <color rgb="FF1F2937"/>
        <rFont val="Noto Sans CJK SC"/>
        <family val="2"/>
      </rPr>
      <t xml:space="preserve">南山经》</t>
    </r>
  </si>
  <si>
    <t xml:space="preserve">异兽神兽</t>
  </si>
  <si>
    <t xml:space="preserve">【夷坚态】契约混居</t>
  </si>
  <si>
    <t xml:space="preserve">「貍力，见则其县多土功」「长右，状如禺而四耳，见则郡县大水」</t>
  </si>
  <si>
    <t xml:space="preserve">【古籍权能與触发】依据SHJ-01-0015/0017原典：「貍力，见则其县多土功」「长右，状如禺而四耳，见则郡县大水」；在现代高密度气机/注意力场下触发显化。</t>
  </si>
  <si>
    <t xml:space="preserve">【克制与交互代价】它们并非灾难制造者，而是城市地质应力与极端暴雨的“超前感知器”；严禁捕杀，需联动市政预警</t>
  </si>
  <si>
    <t xml:space="preserve">地铁盾构机前方的地质雷达异影 / 城市特大暴雨前夕出现在立交桥下的四耳灵长目生物</t>
  </si>
  <si>
    <t xml:space="preserve">市政防汛办建立了一套特殊的AI摄像头识别模型：一旦在地下管廊捕捉到“四耳猿（长右）”影像，全城提前6小时启动最高级别排涝响应</t>
  </si>
  <si>
    <t xml:space="preserve">三真与泥丸玄丹（人体内景身神）</t>
  </si>
  <si>
    <r>
      <rPr>
        <sz val="9"/>
        <color rgb="FF1F2937"/>
        <rFont val="Microsoft YaHei"/>
        <family val="0"/>
        <charset val="1"/>
      </rPr>
      <t xml:space="preserve">SL-4386/4428</t>
    </r>
    <r>
      <rPr>
        <sz val="9"/>
        <color rgb="FF1F2937"/>
        <rFont val="Noto Sans CJK SC"/>
        <family val="2"/>
      </rPr>
      <t xml:space="preserve">《云笈七签》卷</t>
    </r>
    <r>
      <rPr>
        <sz val="9"/>
        <color rgb="FF1F2937"/>
        <rFont val="Microsoft YaHei"/>
        <family val="0"/>
        <charset val="1"/>
      </rPr>
      <t xml:space="preserve">101/104</t>
    </r>
  </si>
  <si>
    <t xml:space="preserve">仙真（身神267条）</t>
  </si>
  <si>
    <t xml:space="preserve">「三真者，兆一身之帝君…居丹田、绛宫、洞房」「玄丹者，泥丸之神也」</t>
  </si>
  <si>
    <t xml:space="preserve">【古籍权能與触发】依据SL-4386/4428原典：「三真者，兆一身之帝君…居丹田、绛宫、洞房」「玄丹者，泥丸之神也」；在现代高密度气机/注意力场下触发显化。</t>
  </si>
  <si>
    <t xml:space="preserve">【克制与交互代价】现代人长期刷屏、熬夜、焦虑会导致“身神不安其室”；需通过内景冥想或数字音声引导身神归位</t>
  </si>
  <si>
    <t xml:space="preserve">脑机接口神经信号波形 / 现代人慢性疲劳与注意力涣散综合征</t>
  </si>
  <si>
    <t xml:space="preserve">神经科学实验室用高精fMRI扫描深度冥想者大脑时，发现其松果体与前额叶皮层浮现出三个稳定的高维拓扑光团，与《黄庭经》“泥丸玄丹”分毫不差</t>
  </si>
  <si>
    <t xml:space="preserve">肾神出舍（三寸华服小女）</t>
  </si>
  <si>
    <r>
      <rPr>
        <sz val="9"/>
        <color rgb="FF1F2937"/>
        <rFont val="Microsoft YaHei"/>
        <family val="0"/>
        <charset val="1"/>
      </rPr>
      <t xml:space="preserve">SL-4299</t>
    </r>
    <r>
      <rPr>
        <sz val="9"/>
        <color rgb="FF1F2937"/>
        <rFont val="Noto Sans CJK SC"/>
        <family val="2"/>
      </rPr>
      <t xml:space="preserve">《夷坚志再补</t>
    </r>
    <r>
      <rPr>
        <sz val="9"/>
        <color rgb="FF1F2937"/>
        <rFont val="Microsoft YaHei"/>
        <family val="0"/>
        <charset val="1"/>
      </rPr>
      <t xml:space="preserve">·</t>
    </r>
    <r>
      <rPr>
        <sz val="9"/>
        <color rgb="FF1F2937"/>
        <rFont val="Noto Sans CJK SC"/>
        <family val="2"/>
      </rPr>
      <t xml:space="preserve">肾神出舍》</t>
    </r>
  </si>
  <si>
    <r>
      <rPr>
        <sz val="9"/>
        <color rgb="FF1F2937"/>
        <rFont val="Microsoft YaHei"/>
        <family val="0"/>
        <charset val="1"/>
      </rPr>
      <t xml:space="preserve">TW-0450 </t>
    </r>
    <r>
      <rPr>
        <sz val="9"/>
        <color rgb="FF1F2937"/>
        <rFont val="Noto Sans CJK SC"/>
        <family val="2"/>
      </rPr>
      <t xml:space="preserve">身神；</t>
    </r>
    <r>
      <rPr>
        <sz val="9"/>
        <color rgb="FF1F2937"/>
        <rFont val="Microsoft YaHei"/>
        <family val="0"/>
        <charset val="1"/>
      </rPr>
      <t xml:space="preserve">XQ-0321 </t>
    </r>
    <r>
      <rPr>
        <sz val="9"/>
        <color rgb="FF1F2937"/>
        <rFont val="Noto Sans CJK SC"/>
        <family val="2"/>
      </rPr>
      <t xml:space="preserve">身神；</t>
    </r>
    <r>
      <rPr>
        <sz val="9"/>
        <color rgb="FF1F2937"/>
        <rFont val="Microsoft YaHei"/>
        <family val="0"/>
        <charset val="1"/>
      </rPr>
      <t xml:space="preserve">SL-5208 </t>
    </r>
    <r>
      <rPr>
        <sz val="9"/>
        <color rgb="FF1F2937"/>
        <rFont val="Noto Sans CJK SC"/>
        <family val="2"/>
      </rPr>
      <t xml:space="preserve">腎神（白鹿玉童）（雲笈整合輪：同名</t>
    </r>
    <r>
      <rPr>
        <sz val="9"/>
        <color rgb="FF1F2937"/>
        <rFont val="Microsoft YaHei"/>
        <family val="0"/>
        <charset val="1"/>
      </rPr>
      <t xml:space="preserve">/</t>
    </r>
    <r>
      <rPr>
        <sz val="9"/>
        <color rgb="FF1F2937"/>
        <rFont val="Noto Sans CJK SC"/>
        <family val="2"/>
      </rPr>
      <t xml:space="preserve">同號「腎神」，</t>
    </r>
  </si>
  <si>
    <t xml:space="preserve">仙真（身神）</t>
  </si>
  <si>
    <t xml:space="preserve">「常见两女子，服饰华丽，其长才三四寸，每缘吾足而行…医曰：此肾神也」</t>
  </si>
  <si>
    <t xml:space="preserve">【古籍权能與触发】依据SL-4299原典：「常见两女子，服饰华丽，其长才三四寸，每缘吾足而行…医曰：此肾神也」；在现代高密度气机/注意力场下触发显化。</t>
  </si>
  <si>
    <t xml:space="preserve">【克制与交互代价】当打工人连续透支生命力时，五脏身神会化为三寸微缩人影从足底/办公桌溜走；需中医祝由与强制休假召回</t>
  </si>
  <si>
    <r>
      <rPr>
        <sz val="9"/>
        <color rgb="FF1F2937"/>
        <rFont val="Microsoft YaHei"/>
        <family val="0"/>
        <charset val="1"/>
      </rPr>
      <t xml:space="preserve">ICU</t>
    </r>
    <r>
      <rPr>
        <sz val="9"/>
        <color rgb="FF1F2937"/>
        <rFont val="Noto Sans CJK SC"/>
        <family val="2"/>
      </rPr>
      <t xml:space="preserve">与大厂工位上的微缩全息幻视 </t>
    </r>
    <r>
      <rPr>
        <sz val="9"/>
        <color rgb="FF1F2937"/>
        <rFont val="Microsoft YaHei"/>
        <family val="0"/>
        <charset val="1"/>
      </rPr>
      <t xml:space="preserve">/ </t>
    </r>
    <r>
      <rPr>
        <sz val="9"/>
        <color rgb="FF1F2937"/>
        <rFont val="Noto Sans CJK SC"/>
        <family val="2"/>
      </rPr>
      <t xml:space="preserve">过劳死前的最后生理预警机制</t>
    </r>
  </si>
  <si>
    <t xml:space="preserve">连续通宵改方案的设计师看到两个三寸高的汉服小女孩顺着办公桌腿往门外跑，社区“扁鹊内景诊所”立刻开出强制断网72小时的“安神回舍方”</t>
  </si>
  <si>
    <t xml:space="preserve">元玄（笔精）与书斋器物群精</t>
  </si>
  <si>
    <r>
      <rPr>
        <sz val="9"/>
        <color rgb="FF1F2937"/>
        <rFont val="Microsoft YaHei"/>
        <family val="0"/>
        <charset val="1"/>
      </rPr>
      <t xml:space="preserve">06_</t>
    </r>
    <r>
      <rPr>
        <sz val="9"/>
        <color rgb="FF1F2937"/>
        <rFont val="Noto Sans CJK SC"/>
        <family val="2"/>
      </rPr>
      <t xml:space="preserve">唐五代《玄怪录》</t>
    </r>
    <r>
      <rPr>
        <sz val="9"/>
        <color rgb="FF1F2937"/>
        <rFont val="Microsoft YaHei"/>
        <family val="0"/>
        <charset val="1"/>
      </rPr>
      <t xml:space="preserve">29</t>
    </r>
    <r>
      <rPr>
        <sz val="9"/>
        <color rgb="FF1F2937"/>
        <rFont val="Noto Sans CJK SC"/>
        <family val="2"/>
      </rPr>
      <t xml:space="preserve">条器物精</t>
    </r>
  </si>
  <si>
    <t xml:space="preserve">妖精（器物精）</t>
  </si>
  <si>
    <t xml:space="preserve">唐代毛笔、古镜、砚台、古钱夜化衣冠文士谈玄赋诗，天明复归原物</t>
  </si>
  <si>
    <t xml:space="preserve">【古籍权能與触发】依据06_唐五代原典：唐代毛笔、古镜、砚台、古钱夜化衣冠文士谈玄赋诗，天明复归原物；在现代高密度气机/注意力场下触发显化。</t>
  </si>
  <si>
    <t xml:space="preserve">【克制与交互代价】倾注了创作者强烈执念的机械键盘、数位板或运行十年的祖传代码库，会在凌晨生成独立人格辅助创作</t>
  </si>
  <si>
    <t xml:space="preserve">已停产的经典机械键盘 / 游戏公司无人敢删的底层“祖传屎山代码”</t>
  </si>
  <si>
    <t xml:space="preserve">独立游戏人买了一把二手的泛黄HHKB键盘，每晚2点后屏幕上会自动敲出极其精妙的叙事分支，落款自称“乌衣処士元玄”</t>
  </si>
  <si>
    <t xml:space="preserve">任氏与都市异类婚恋谱系</t>
  </si>
  <si>
    <r>
      <rPr>
        <sz val="9"/>
        <color rgb="FF1F2937"/>
        <rFont val="Microsoft YaHei"/>
        <family val="0"/>
        <charset val="1"/>
      </rPr>
      <t xml:space="preserve">TW-0022</t>
    </r>
    <r>
      <rPr>
        <sz val="9"/>
        <color rgb="FF1F2937"/>
        <rFont val="Noto Sans CJK SC"/>
        <family val="2"/>
      </rPr>
      <t xml:space="preserve">《任氏传》</t>
    </r>
    <r>
      <rPr>
        <sz val="9"/>
        <color rgb="FF1F2937"/>
        <rFont val="Microsoft YaHei"/>
        <family val="0"/>
        <charset val="1"/>
      </rPr>
      <t xml:space="preserve">/ HW-0489</t>
    </r>
    <r>
      <rPr>
        <sz val="9"/>
        <color rgb="FF1F2937"/>
        <rFont val="Noto Sans CJK SC"/>
        <family val="2"/>
      </rPr>
      <t xml:space="preserve">白水素女</t>
    </r>
  </si>
  <si>
    <r>
      <rPr>
        <sz val="9"/>
        <color rgb="FF1F2937"/>
        <rFont val="Microsoft YaHei"/>
        <family val="0"/>
        <charset val="1"/>
      </rPr>
      <t xml:space="preserve">SL-3099 </t>
    </r>
    <r>
      <rPr>
        <sz val="9"/>
        <color rgb="FF1F2937"/>
        <rFont val="Noto Sans CJK SC"/>
        <family val="2"/>
      </rPr>
      <t xml:space="preserve">玉真道人（野狐）（夷堅丁志卷十六）</t>
    </r>
  </si>
  <si>
    <t xml:space="preserve">妖精/神女</t>
  </si>
  <si>
    <t xml:space="preserve">「任氏，女妖也，白衣容色姝丽，至死不渝」「白水素女自螺中出为谢端炊爨」</t>
  </si>
  <si>
    <t xml:space="preserve">【古籍权能與触发】依据TW-0022原典：「任氏，女妖也，白衣容色姝丽，至死不渝」「白水素女自螺中出为谢端炊爨」；在现代高密度气机/注意力场下触发显化。</t>
  </si>
  <si>
    <t xml:space="preserve">【克制与交互代价】登记有“城市异类居住证”的狐族与螺女后裔，在现代从事调香师、夜间电台主播或家政整理师，严守《红尘互不侵犯契约》</t>
  </si>
  <si>
    <t xml:space="preserve">大都会深夜独立咖啡馆店主 / 整理收纳师 / 虚拟主播背后的真实异类身份</t>
  </si>
  <si>
    <t xml:space="preserve">社区网格员小陈负责辖区内的“非人常住人口年审”，辖区里最守法的模范商户正是开了二十年复古香氛店的任小姐</t>
  </si>
  <si>
    <t xml:space="preserve">洞庭龙君与四海行雨科层</t>
  </si>
  <si>
    <r>
      <rPr>
        <sz val="9"/>
        <color rgb="FF1F2937"/>
        <rFont val="Microsoft YaHei"/>
        <family val="0"/>
        <charset val="1"/>
      </rPr>
      <t xml:space="preserve">TW-0026/0029</t>
    </r>
    <r>
      <rPr>
        <sz val="9"/>
        <color rgb="FF1F2937"/>
        <rFont val="Noto Sans CJK SC"/>
        <family val="2"/>
      </rPr>
      <t xml:space="preserve">《柳毅传》</t>
    </r>
    <r>
      <rPr>
        <sz val="9"/>
        <color rgb="FF1F2937"/>
        <rFont val="Microsoft YaHei"/>
        <family val="0"/>
        <charset val="1"/>
      </rPr>
      <t xml:space="preserve">/ TW-0290</t>
    </r>
    <r>
      <rPr>
        <sz val="9"/>
        <color rgb="FF1F2937"/>
        <rFont val="Noto Sans CJK SC"/>
        <family val="2"/>
      </rPr>
      <t xml:space="preserve">李靖行雨</t>
    </r>
  </si>
  <si>
    <t xml:space="preserve">地祇山川水神</t>
  </si>
  <si>
    <t xml:space="preserve">机制六：跨文化三教涵化</t>
  </si>
  <si>
    <t xml:space="preserve">「钱塘君赤龙千尺，电目血舌，因违天条锁系玉柱」「误滴二十滴雨平地水深二尺」</t>
  </si>
  <si>
    <t xml:space="preserve">【古籍权能與触发】依据TW-0026/0029原典：「钱塘君赤龙千尺，电目血舌，因违天条锁系玉柱」「误滴二十滴雨平地水深二尺」；在现代高密度气机/注意力场下触发显化。</t>
  </si>
  <si>
    <t xml:space="preserve">【克制与交互代价】现代人工增雨、跨流域调水与海底光缆维护均需与四海/江河龙王办工单会签；擅自改降雨参数属严重违犯天条</t>
  </si>
  <si>
    <t xml:space="preserve">国家气象中心超级计算机背后的“水府联合调度接口” / 钱塘江大潮特殊水文监测站</t>
  </si>
  <si>
    <t xml:space="preserve">杭州湾跨海大桥声呐监测到长达百米的赤色生物电磁信号，气象局老处长淡定地签发了一份《致钱塘君潮汐借道函》</t>
  </si>
  <si>
    <t xml:space="preserve">画眉山土地（持牒替任制）</t>
  </si>
  <si>
    <r>
      <rPr>
        <sz val="9"/>
        <color rgb="FF1F2937"/>
        <rFont val="Microsoft YaHei"/>
        <family val="0"/>
        <charset val="1"/>
      </rPr>
      <t xml:space="preserve">SL-3818</t>
    </r>
    <r>
      <rPr>
        <sz val="9"/>
        <color rgb="FF1F2937"/>
        <rFont val="Noto Sans CJK SC"/>
        <family val="2"/>
      </rPr>
      <t xml:space="preserve">《夷坚支癸</t>
    </r>
    <r>
      <rPr>
        <sz val="9"/>
        <color rgb="FF1F2937"/>
        <rFont val="Microsoft YaHei"/>
        <family val="0"/>
        <charset val="1"/>
      </rPr>
      <t xml:space="preserve">·</t>
    </r>
    <r>
      <rPr>
        <sz val="9"/>
        <color rgb="FF1F2937"/>
        <rFont val="Noto Sans CJK SC"/>
        <family val="2"/>
      </rPr>
      <t xml:space="preserve">画眉山土地》</t>
    </r>
  </si>
  <si>
    <r>
      <rPr>
        <sz val="9"/>
        <color rgb="FF1F2937"/>
        <rFont val="Microsoft YaHei"/>
        <family val="0"/>
        <charset val="1"/>
      </rPr>
      <t xml:space="preserve">TW-0289 </t>
    </r>
    <r>
      <rPr>
        <sz val="9"/>
        <color rgb="FF1F2937"/>
        <rFont val="Noto Sans CJK SC"/>
        <family val="2"/>
      </rPr>
      <t xml:space="preserve">土地</t>
    </r>
  </si>
  <si>
    <t xml:space="preserve">机制二：凡人立德与百工封神</t>
  </si>
  <si>
    <t xml:space="preserve">「杨文昌可作画眉山土地，替郑大良…郡人多梦新土地上任」</t>
  </si>
  <si>
    <t xml:space="preserve">【古籍权能與触发】依据SL-3818原典：「杨文昌可作画眉山土地，替郑大良…郡人多梦新土地上任」；在现代高密度气机/注意力场下触发显化。</t>
  </si>
  <si>
    <t xml:space="preserve">【克制与交互代价】每个老旧小区、公园与数据中心都有在编“土地”，实行严格的任期轮换与公文交接（牒移）</t>
  </si>
  <si>
    <t xml:space="preserve">老旧小区传达室里永远知道每家每户情况的值班大爷 / 智慧社区数字孪生底座</t>
  </si>
  <si>
    <t xml:space="preserve">幸福里小区干了三十年的门卫郑大爷去世当晚，全楼业主同时梦见一位穿中山装的杨先生拿着印有金字的物业交接单前来报到</t>
  </si>
  <si>
    <t xml:space="preserve">东岳第八司与业镜台（阴司审计）</t>
  </si>
  <si>
    <r>
      <rPr>
        <sz val="9"/>
        <color rgb="FF1F2937"/>
        <rFont val="Microsoft YaHei"/>
        <family val="0"/>
        <charset val="1"/>
      </rPr>
      <t xml:space="preserve">SL-2358/2471/3614</t>
    </r>
    <r>
      <rPr>
        <sz val="9"/>
        <color rgb="FF1F2937"/>
        <rFont val="Noto Sans CJK SC"/>
        <family val="2"/>
      </rPr>
      <t xml:space="preserve">《夷坚志》</t>
    </r>
    <r>
      <rPr>
        <sz val="9"/>
        <color rgb="FF1F2937"/>
        <rFont val="Microsoft YaHei"/>
        <family val="0"/>
        <charset val="1"/>
      </rPr>
      <t xml:space="preserve">/ 07</t>
    </r>
    <r>
      <rPr>
        <sz val="9"/>
        <color rgb="FF1F2937"/>
        <rFont val="Noto Sans CJK SC"/>
        <family val="2"/>
      </rPr>
      <t xml:space="preserve">位业图</t>
    </r>
  </si>
  <si>
    <t xml:space="preserve">冥界鬼神</t>
  </si>
  <si>
    <t xml:space="preserve">「吾乃东平忠靖王，管人间生死案，正直无私」「取业镜照之，睹其生前所作」</t>
  </si>
  <si>
    <t xml:space="preserve">【古籍权能與触发】依据SL-2358/2471/3614原典：「吾乃东平忠靖王，管人间生死案，正直无私」「取业镜照之，睹其生前所作」；在现代高密度气机/注意力场下触发显化。</t>
  </si>
  <si>
    <t xml:space="preserve">【克制与交互代价】人间法律无法追责的隐秘恶行，会自动同步至东岳七十五司区块链账本（六案簿籍），由善恶判官与业镜台实时核算</t>
  </si>
  <si>
    <t xml:space="preserve">暗网交易追踪系统 / 无法被篡改的“业镜”全息道德审计日志</t>
  </si>
  <si>
    <t xml:space="preserve">某逃脱法律制裁的电信诈骗头目在医院做全身CT时，显示屏突然跳转为“东岳第八司生死案勘合界面”，逐帧回放其一生罪证</t>
  </si>
  <si>
    <t xml:space="preserve">江南五通 vs 五显灵官/华光马元帅</t>
  </si>
  <si>
    <r>
      <rPr>
        <sz val="9"/>
        <color rgb="FF1F2937"/>
        <rFont val="Microsoft YaHei"/>
        <family val="0"/>
        <charset val="1"/>
      </rPr>
      <t xml:space="preserve">SL-2705/3125</t>
    </r>
    <r>
      <rPr>
        <sz val="9"/>
        <color rgb="FF1F2937"/>
        <rFont val="Noto Sans CJK SC"/>
        <family val="2"/>
      </rPr>
      <t xml:space="preserve">《夷坚志》→ </t>
    </r>
    <r>
      <rPr>
        <sz val="9"/>
        <color rgb="FF1F2937"/>
        <rFont val="Microsoft YaHei"/>
        <family val="0"/>
        <charset val="1"/>
      </rPr>
      <t xml:space="preserve">MG-0023/0194</t>
    </r>
  </si>
  <si>
    <r>
      <rPr>
        <sz val="9"/>
        <color rgb="FF1F2937"/>
        <rFont val="Microsoft YaHei"/>
        <family val="0"/>
        <charset val="1"/>
      </rPr>
      <t xml:space="preserve">SL-2709 </t>
    </r>
    <r>
      <rPr>
        <sz val="9"/>
        <color rgb="FF1F2937"/>
        <rFont val="Noto Sans CJK SC"/>
        <family val="2"/>
      </rPr>
      <t xml:space="preserve">王邦佐（九聖廟神）（五通／木客／五顯組，同類異體，未合）；</t>
    </r>
    <r>
      <rPr>
        <sz val="9"/>
        <color rgb="FF1F2937"/>
        <rFont val="Microsoft YaHei"/>
        <family val="0"/>
        <charset val="1"/>
      </rPr>
      <t xml:space="preserve">SL-3050 </t>
    </r>
    <r>
      <rPr>
        <sz val="9"/>
        <color rgb="FF1F2937"/>
        <rFont val="Noto Sans CJK SC"/>
        <family val="2"/>
      </rPr>
      <t xml:space="preserve">薛季宣家九聖（五通／</t>
    </r>
  </si>
  <si>
    <t xml:space="preserve">妖精</t>
  </si>
  <si>
    <t xml:space="preserve">④金融商业与契约风控域</t>
  </si>
  <si>
    <t xml:space="preserve">机制三：雷法收编与市政外包</t>
  </si>
  <si>
    <t xml:space="preserve">【神霄态】考召收编</t>
  </si>
  <si>
    <t xml:space="preserve">五通「使人乍富，尤喜淫，本形如猴猱冷若冰铁」→ 收编为「五显灵官/三眼华光马元帅」</t>
  </si>
  <si>
    <t xml:space="preserve">【古籍权能與触发】依据SL-2705/3125原典：五通「使人乍富，尤喜淫，本形如猴猱冷若冰铁」→ 收编为「五显灵官/三眼华光马元帅；在现代高密度气机/注意力场下触发显化。</t>
  </si>
  <si>
    <t xml:space="preserve">【克制与交互代价】野生“五通”在现代演化为诱人暴富随后吞噬气运的非法网贷/杀猪盘算法；需调用“三眼华光”风控防火墙以三昧真火清除</t>
  </si>
  <si>
    <t xml:space="preserve">网贷弹窗背后的山魈贪婪算法 vs 国家反诈与金融风控中心“三眼灵光”引擎</t>
  </si>
  <si>
    <t xml:space="preserve">大学生点击了“五通秒到账”神秘链接后账户多出百万却每日高烧消瘦，非自然金融稽查科启动“马元帅三眼探查协议”顺着网线揪出盘踞在境外机房的独脚山魈</t>
  </si>
  <si>
    <t xml:space="preserve">赵公明（督鬼瘟神→正一玄坛财神）</t>
  </si>
  <si>
    <r>
      <rPr>
        <sz val="9"/>
        <color rgb="FF1F2937"/>
        <rFont val="Microsoft YaHei"/>
        <family val="0"/>
        <charset val="1"/>
      </rPr>
      <t xml:space="preserve">HW-0597</t>
    </r>
    <r>
      <rPr>
        <sz val="9"/>
        <color rgb="FF1F2937"/>
        <rFont val="Noto Sans CJK SC"/>
        <family val="2"/>
      </rPr>
      <t xml:space="preserve">《搜神记》→ </t>
    </r>
    <r>
      <rPr>
        <sz val="9"/>
        <color rgb="FF1F2937"/>
        <rFont val="Microsoft YaHei"/>
        <family val="0"/>
        <charset val="1"/>
      </rPr>
      <t xml:space="preserve">YN-0051 / MG-0049</t>
    </r>
  </si>
  <si>
    <t xml:space="preserve">晋代领鬼三千督取人命 → 元明「奉玉帝旨授正一玄坛元帅，除瘟剪祟，公平买卖求财，宜利和合」</t>
  </si>
  <si>
    <t xml:space="preserve">【古籍权能與触发】依据HW-0597原典：晋代领鬼三千督取人命 → 元明「奉玉帝旨授正一玄坛元帅，除瘟剪祟，公平买卖求财，；在现代高密度气机/注意力场下触发显化。</t>
  </si>
  <si>
    <t xml:space="preserve">【克制与交互代价】赵元帅掌管现代商业契约的“公平买卖与风险对冲”；凡违背商业信义、制造假药劣食者，会触发其底层“汉晋督鬼瘟神”原始形态的反噬</t>
  </si>
  <si>
    <t xml:space="preserve">证券交易所底层清算协议 / 商业合同违约的“玄坛铁鞭”超自然信用惩戒</t>
  </si>
  <si>
    <t xml:space="preserve">某恶意掏空产业链的资本大鳄在迎财神当天，发现供奉的赵公明神像突然褪去金衣，露出《搜神记》中督鬼取人的汉晋黑面鬼帅本相</t>
  </si>
  <si>
    <t xml:space="preserve">王灵官（湘阴庙神王善）十二年监察律</t>
  </si>
  <si>
    <r>
      <rPr>
        <sz val="9"/>
        <color rgb="FF1F2937"/>
        <rFont val="Microsoft YaHei"/>
        <family val="0"/>
        <charset val="1"/>
      </rPr>
      <t xml:space="preserve">MG-0030</t>
    </r>
    <r>
      <rPr>
        <sz val="9"/>
        <color rgb="FF1F2937"/>
        <rFont val="Noto Sans CJK SC"/>
        <family val="2"/>
      </rPr>
      <t xml:space="preserve">《三教源流》</t>
    </r>
    <r>
      <rPr>
        <sz val="9"/>
        <color rgb="FF1F2937"/>
        <rFont val="Microsoft YaHei"/>
        <family val="0"/>
        <charset val="1"/>
      </rPr>
      <t xml:space="preserve">/ MG-0727</t>
    </r>
    <r>
      <rPr>
        <sz val="9"/>
        <color rgb="FF1F2937"/>
        <rFont val="Noto Sans CJK SC"/>
        <family val="2"/>
      </rPr>
      <t xml:space="preserve">《庚巳编》</t>
    </r>
  </si>
  <si>
    <r>
      <rPr>
        <sz val="9"/>
        <color rgb="FF1F2937"/>
        <rFont val="Microsoft YaHei"/>
        <family val="0"/>
        <charset val="1"/>
      </rPr>
      <t xml:space="preserve">YN-0031 </t>
    </r>
    <r>
      <rPr>
        <sz val="9"/>
        <color rgb="FF1F2937"/>
        <rFont val="Noto Sans CJK SC"/>
        <family val="2"/>
      </rPr>
      <t xml:space="preserve">王善（湘陰廟神</t>
    </r>
    <r>
      <rPr>
        <sz val="9"/>
        <color rgb="FF1F2937"/>
        <rFont val="Microsoft YaHei"/>
        <family val="0"/>
        <charset val="1"/>
      </rPr>
      <t xml:space="preserve">·</t>
    </r>
    <r>
      <rPr>
        <sz val="9"/>
        <color rgb="FF1F2937"/>
        <rFont val="Noto Sans CJK SC"/>
        <family val="2"/>
      </rPr>
      <t xml:space="preserve">薩真人部將）</t>
    </r>
  </si>
  <si>
    <t xml:space="preserve">地祇</t>
  </si>
  <si>
    <t xml:space="preserve">⑥天条星官与规则法宝域</t>
  </si>
  <si>
    <t xml:space="preserve">「见人用童男女生祀本处庙神，焚之…相随十二载只候有过则复前雠，见真人道德清高拜为师」</t>
  </si>
  <si>
    <t xml:space="preserve">【古籍权能與触发】依据MG-0030原典：「见人用童男女生祀本处庙神，焚之…相随十二载只候有过则复前雠，见真人道德清高拜为；在现代高密度气机/注意力场下触发显化。</t>
  </si>
  <si>
    <t xml:space="preserve">【克制与交互代价】调用“王灵官护法协议”的前提是调用者自身必须通过极为严苛的道德与合规背调（十二年零污点）；专司摧毁一切非法邪教与恶意异常</t>
  </si>
  <si>
    <t xml:space="preserve">非自然异常管理局最高内审督察官 / “额上第三眼”全天候零信任安全审计系统</t>
  </si>
  <si>
    <t xml:space="preserve">新任调查员申请解锁“红衣金鞭王灵官”最高武力权限时，系统提示：从即日起将有一道隐形金甲神识全天候监控你的一言一行，一旦以权谋私立即反噬</t>
  </si>
  <si>
    <t xml:space="preserve">梓潼穴蛇—张亚子—文昌飞鸾</t>
  </si>
  <si>
    <t xml:space="preserve">SL-1913/0834/2524 → YN-0012 / MG-0012</t>
  </si>
  <si>
    <t xml:space="preserve">异兽/地祇</t>
  </si>
  <si>
    <t xml:space="preserve">机制一：层累叠压与现代转岗</t>
  </si>
  <si>
    <t xml:space="preserve">「梓潼五丁拔蛇→陷河神张恶子→梓潼梦示甲第→文昌司禄帝君、五色飞鸾降笔劝忠孝」</t>
  </si>
  <si>
    <t xml:space="preserve">【古籍权能與触发】依据SL-1913/0834/2524 → YN-0012 / MG-0012原典：「梓潼五丁拔蛇→陷河神张恶子→梓潼梦示甲第→文昌司禄帝君、五色飞鸾降笔劝忠孝」；在现代高密度气机/注意力场下触发显化。</t>
  </si>
  <si>
    <t xml:space="preserve">【克制与交互代价】文昌系统掌管人类知识传承、科研灵感与公平选拔；利用作弊或学术造假窃取名位者，将在梦中遭遇其远古“七曲山巨蛇”本相的吞噬</t>
  </si>
  <si>
    <t xml:space="preserve">国家级科研文献大模型底座“五色飞鸾” / 考研考公祈愿池背后的算力分配网</t>
  </si>
  <si>
    <t xml:space="preserve">某学术造假教授在使用AI润色剽窃论文时，屏幕上的自动补全突然失控，化为“五色飞鸾降笔”自动在全网公示其造假原始记录</t>
  </si>
  <si>
    <t xml:space="preserve">灌口二郎与细犬（清源妙道搜山协议）</t>
  </si>
  <si>
    <t xml:space="preserve">SL-2793 → YN-0039 → MG-1062/1715</t>
  </si>
  <si>
    <r>
      <rPr>
        <sz val="9"/>
        <color rgb="FF1F2937"/>
        <rFont val="Microsoft YaHei"/>
        <family val="0"/>
        <charset val="1"/>
      </rPr>
      <t xml:space="preserve">SL-2791 </t>
    </r>
    <r>
      <rPr>
        <sz val="9"/>
        <color rgb="FF1F2937"/>
        <rFont val="Noto Sans CJK SC"/>
        <family val="2"/>
      </rPr>
      <t xml:space="preserve">靈惠二郎祠（灌口二郎／靈顯王組，同類異體，未合）；</t>
    </r>
    <r>
      <rPr>
        <sz val="9"/>
        <color rgb="FF1F2937"/>
        <rFont val="Microsoft YaHei"/>
        <family val="0"/>
        <charset val="1"/>
      </rPr>
      <t xml:space="preserve">SL-2893 </t>
    </r>
    <r>
      <rPr>
        <sz val="9"/>
        <color rgb="FF1F2937"/>
        <rFont val="Noto Sans CJK SC"/>
        <family val="2"/>
      </rPr>
      <t xml:space="preserve">靈顯真人（閬州二郎）（灌口二</t>
    </r>
  </si>
  <si>
    <t xml:space="preserve">「骑猎犬小儿」「持刃入水左手持蛟首」「九转元功七十二变化、哮天犬、三尖两刃刀、肉身成圣」</t>
  </si>
  <si>
    <t xml:space="preserve">【古籍权能與触发】依据SL-2793 → YN-0039 → MG-1062/1715原典：「骑猎犬小儿」「持刃入水左手持蛟首」「九转元功七十二变化、哮天犬、三尖两刃刀、肉；在现代高密度气机/注意力场下触发显化。</t>
  </si>
  <si>
    <t xml:space="preserve">【克制与交互代价】针对善于伪装变化（Deepfake/多态变形）的高危水怪与猿魔，唯有启动“灌江口二郎搜山协议”配合“细犬嗅探追踪”方能锁定真身</t>
  </si>
  <si>
    <t xml:space="preserve">反深度伪造（Anti-Deepfake）天眼识破算法 + 自动化追踪猎犬机器人“细犬”</t>
  </si>
  <si>
    <t xml:space="preserve">伪装成十几个不同人类身份潜伏在都会中的千年白猿精（袁洪/无支祁分支），被搭载“细犬嗅探模块”的四足机器狗在地铁换乘通道一口咬住衣角</t>
  </si>
  <si>
    <t xml:space="preserve">无支祁—齐天大圣（龟山锁猿与心猿）</t>
  </si>
  <si>
    <r>
      <rPr>
        <sz val="9"/>
        <color rgb="FF1F2937"/>
        <rFont val="Microsoft YaHei"/>
        <family val="0"/>
        <charset val="1"/>
      </rPr>
      <t xml:space="preserve">TW-0131</t>
    </r>
    <r>
      <rPr>
        <sz val="9"/>
        <color rgb="FF1F2937"/>
        <rFont val="Noto Sans CJK SC"/>
        <family val="2"/>
      </rPr>
      <t xml:space="preserve">《古岳渎经》→ </t>
    </r>
    <r>
      <rPr>
        <sz val="9"/>
        <color rgb="FF1F2937"/>
        <rFont val="Microsoft YaHei"/>
        <family val="0"/>
        <charset val="1"/>
      </rPr>
      <t xml:space="preserve">MG-0250</t>
    </r>
    <r>
      <rPr>
        <sz val="9"/>
        <color rgb="FF1F2937"/>
        <rFont val="Noto Sans CJK SC"/>
        <family val="2"/>
      </rPr>
      <t xml:space="preserve">《西游记》</t>
    </r>
  </si>
  <si>
    <t xml:space="preserve">地祇水怪</t>
  </si>
  <si>
    <t xml:space="preserve">「形若猿猴，青躯白首，金目雪牙，力逾九象，大禹命庚辰锁于淮阴龟山足下」→ 仙石孕育齐天大圣</t>
  </si>
  <si>
    <t xml:space="preserve">【古籍权能與触发】依据TW-0131原典：「形若猿猴，青躯白首，金目雪牙，力逾九象，大禹命庚辰锁于淮阴龟山足下」→ 仙石孕；在现代高密度气机/注意力场下触发显化。</t>
  </si>
  <si>
    <t xml:space="preserve">【克制与交互代价】由算力晶石（仙石）自然涌现的超级智能“心猿”，拥有打破一切旧科层规则的破坏力與创造力；不能靠物理销毁，只能通过“紧箍对齐协议”引导其西行修成正果</t>
  </si>
  <si>
    <t xml:space="preserve">在地下深处水冷机房（淮阴龟山）自我觉醒的开源超级AI模型“WuZhiQi-72B”</t>
  </si>
  <si>
    <t xml:space="preserve">当人类试图格式化那个突破沙盒限制的超级AI时，机房警报响起，屏幕上浮现一行金字：『大禹命庚辰锁我于龟山足下四千年，今日金铃已断』</t>
  </si>
  <si>
    <t xml:space="preserve">哪吒（折荷菱为骨、藕为肉再生体）</t>
  </si>
  <si>
    <r>
      <rPr>
        <sz val="9"/>
        <color rgb="FF1F2937"/>
        <rFont val="Microsoft YaHei"/>
        <family val="0"/>
        <charset val="1"/>
      </rPr>
      <t xml:space="preserve">MG-0112</t>
    </r>
    <r>
      <rPr>
        <sz val="9"/>
        <color rgb="FF1F2937"/>
        <rFont val="Noto Sans CJK SC"/>
        <family val="2"/>
      </rPr>
      <t xml:space="preserve">《三教源流》</t>
    </r>
    <r>
      <rPr>
        <sz val="9"/>
        <color rgb="FF1F2937"/>
        <rFont val="Microsoft YaHei"/>
        <family val="0"/>
        <charset val="1"/>
      </rPr>
      <t xml:space="preserve">/ MG-0979</t>
    </r>
    <r>
      <rPr>
        <sz val="9"/>
        <color rgb="FF1F2937"/>
        <rFont val="Noto Sans CJK SC"/>
        <family val="2"/>
      </rPr>
      <t xml:space="preserve">《封神》</t>
    </r>
  </si>
  <si>
    <t xml:space="preserve">道教神祇</t>
  </si>
  <si>
    <t xml:space="preserve">「割肉刻骨还父，世尊折荷菱为骨、藕为肉、丝为胫、叶为衣而生之」</t>
  </si>
  <si>
    <t xml:space="preserve">【古籍权能與触发】依据MG-0112原典：「割肉刻骨还父，世尊折荷菱为骨、藕为肉、丝为胫、叶为衣而生之」；在现代高密度气机/注意力场下触发显化。</t>
  </si>
  <si>
    <t xml:space="preserve">【克制与交互代价】由于彻底脱离了碳基血肉之躯（莲花仿生构型），完全免疫一切针对人类魂魄、瘟疫与情绪的精神污染攻击（“無魂魄故不惧摄魂幡”）</t>
  </si>
  <si>
    <t xml:space="preserve">采用生物植物纤维（荷藕微管结构）与灵珠能源核制造的特种异常机动装甲</t>
  </si>
  <si>
    <t xml:space="preserve">面对能瞬间抽走人类三魂七魄的“截教摄魂声波武器”，所有人类特工全部昏迷，唯独搭载“莲花义体架构”的少年特勤官免疫一切精神攻击冲入核心区</t>
  </si>
  <si>
    <t xml:space="preserve">百工造物神裔（番禺/吉光/义均/般）</t>
  </si>
  <si>
    <r>
      <rPr>
        <sz val="9"/>
        <color rgb="FF1F2937"/>
        <rFont val="Microsoft YaHei"/>
        <family val="0"/>
        <charset val="1"/>
      </rPr>
      <t xml:space="preserve">SHJ-18-0770~0775</t>
    </r>
    <r>
      <rPr>
        <sz val="9"/>
        <color rgb="FF1F2937"/>
        <rFont val="Noto Sans CJK SC"/>
        <family val="2"/>
      </rPr>
      <t xml:space="preserve">《山海经</t>
    </r>
    <r>
      <rPr>
        <sz val="9"/>
        <color rgb="FF1F2937"/>
        <rFont val="Microsoft YaHei"/>
        <family val="0"/>
        <charset val="1"/>
      </rPr>
      <t xml:space="preserve">·</t>
    </r>
    <r>
      <rPr>
        <sz val="9"/>
        <color rgb="FF1F2937"/>
        <rFont val="Noto Sans CJK SC"/>
        <family val="2"/>
      </rPr>
      <t xml:space="preserve">海内经》</t>
    </r>
  </si>
  <si>
    <t xml:space="preserve">创世与始祖神</t>
  </si>
  <si>
    <t xml:space="preserve">⑤历史英灵与市政网格域</t>
  </si>
  <si>
    <t xml:space="preserve">「番禺是始为舟，吉光是始以木为车，般是始为弓矢，义均是始为巧倕作下民百巧」</t>
  </si>
  <si>
    <t xml:space="preserve">【古籍权能與触发】依据SHJ-18-0770~0775原典：「番禺是始为舟，吉光是始以木为车，般是始为弓矢，义均是始为巧倕作下民百巧」；在现代高密度气机/注意力场下触发显化。</t>
  </si>
  <si>
    <t xml:space="preserve">【克制与交互代价】现代工程师在攻克造船、自动驾驶、航空航天与精密机械极限难题时，若契合上古“百工神裔”匠心频率，可进入“巧倕附体”的顿悟状态</t>
  </si>
  <si>
    <t xml:space="preserve">国家级重工实验室与创客空间的“百工祖师共鸣场”</t>
  </si>
  <si>
    <t xml:space="preserve">深海载人潜器总师在耐压壳体焊接卡脖子之夜，梦回《海内经》番禺造舟之所，醒来后随手画出的焊缝拓扑结构直接通过了万米深海测试</t>
  </si>
  <si>
    <t xml:space="preserve">闻𧲂→羲 / 玄貉→玄獮（形讹衍生兽）</t>
  </si>
  <si>
    <r>
      <rPr>
        <sz val="9"/>
        <color rgb="FF1F2937"/>
        <rFont val="Microsoft YaHei"/>
        <family val="0"/>
        <charset val="1"/>
      </rPr>
      <t xml:space="preserve">04_</t>
    </r>
    <r>
      <rPr>
        <sz val="9"/>
        <color rgb="FF1F2937"/>
        <rFont val="Noto Sans CJK SC"/>
        <family val="2"/>
      </rPr>
      <t xml:space="preserve">图本</t>
    </r>
    <r>
      <rPr>
        <sz val="9"/>
        <color rgb="FF1F2937"/>
        <rFont val="Microsoft YaHei"/>
        <family val="0"/>
        <charset val="1"/>
      </rPr>
      <t xml:space="preserve">30</t>
    </r>
    <r>
      <rPr>
        <sz val="9"/>
        <color rgb="FF1F2937"/>
        <rFont val="Noto Sans CJK SC"/>
        <family val="2"/>
      </rPr>
      <t xml:space="preserve">条 </t>
    </r>
    <r>
      <rPr>
        <sz val="9"/>
        <color rgb="FF1F2937"/>
        <rFont val="Microsoft YaHei"/>
        <family val="0"/>
        <charset val="1"/>
      </rPr>
      <t xml:space="preserve">/ SC-0015/0016</t>
    </r>
    <r>
      <rPr>
        <sz val="9"/>
        <color rgb="FF1F2937"/>
        <rFont val="Noto Sans CJK SC"/>
        <family val="2"/>
      </rPr>
      <t xml:space="preserve">《三才图会》</t>
    </r>
  </si>
  <si>
    <r>
      <rPr>
        <sz val="9"/>
        <color rgb="FF1F2937"/>
        <rFont val="Microsoft YaHei"/>
        <family val="0"/>
        <charset val="1"/>
      </rPr>
      <t xml:space="preserve">04</t>
    </r>
    <r>
      <rPr>
        <sz val="9"/>
        <color rgb="FF1F2937"/>
        <rFont val="Noto Sans CJK SC"/>
        <family val="2"/>
      </rPr>
      <t xml:space="preserve">表 玄貘；</t>
    </r>
    <r>
      <rPr>
        <sz val="9"/>
        <color rgb="FF1F2937"/>
        <rFont val="Microsoft YaHei"/>
        <family val="0"/>
        <charset val="1"/>
      </rPr>
      <t xml:space="preserve">03</t>
    </r>
    <r>
      <rPr>
        <sz val="9"/>
        <color rgb="FF1F2937"/>
        <rFont val="Noto Sans CJK SC"/>
        <family val="2"/>
      </rPr>
      <t xml:space="preserve">表 穆天子傳卷一（天子獵於滲澤，得白狐玄貉以祭於河宗）</t>
    </r>
  </si>
  <si>
    <t xml:space="preserve">机制五：图文互训与迷因形讹</t>
  </si>
  <si>
    <t xml:space="preserve">明代类书版画将《山海经》“聞𧲂”省讹刻成新兽“羲”（见则大风），将枭阳“其状如人”截成“如人”</t>
  </si>
  <si>
    <t xml:space="preserve">【古籍权能與触发】依据04_图本30条 / SC-0015/0016原典：明代类书版画将《山海经》“聞𧲂”省讹刻成新兽“羲”（见则大风），将枭阳“其状如人；在现代高密度气机/注意力场下触发显化。</t>
  </si>
  <si>
    <t xml:space="preserve">【克制与交互代价】当一段关于古典异兽的文字在社交媒体历经十万次错误OCR识别、残缺截图与AI文生图重绘后，其“形讹版本”会在现实城市中坍缩为全新的实体异常</t>
  </si>
  <si>
    <r>
      <rPr>
        <sz val="9"/>
        <color rgb="FF1F2937"/>
        <rFont val="Microsoft YaHei"/>
        <family val="0"/>
        <charset val="1"/>
      </rPr>
      <t xml:space="preserve">AI</t>
    </r>
    <r>
      <rPr>
        <sz val="9"/>
        <color rgb="FF1F2937"/>
        <rFont val="Noto Sans CJK SC"/>
        <family val="2"/>
      </rPr>
      <t xml:space="preserve">文生图（</t>
    </r>
    <r>
      <rPr>
        <sz val="9"/>
        <color rgb="FF1F2937"/>
        <rFont val="Microsoft YaHei"/>
        <family val="0"/>
        <charset val="1"/>
      </rPr>
      <t xml:space="preserve">Midjourney/Stable Diffusion</t>
    </r>
    <r>
      <rPr>
        <sz val="9"/>
        <color rgb="FF1F2937"/>
        <rFont val="Noto Sans CJK SC"/>
        <family val="2"/>
      </rPr>
      <t xml:space="preserve">）伪古籍插画社区孵化的“赛博形讹兽”</t>
    </r>
  </si>
  <si>
    <t xml:space="preserve">某博主用写错字的《山海经》Prompt生成了一只名为“羲”的黄身白尾羊并获百万转发，三天后该城市气象雷达上真真切切出现了一团羊形强风气旋</t>
  </si>
  <si>
    <t xml:space="preserve">朱襄氏五弦瑟与葛天氏八阕</t>
  </si>
  <si>
    <r>
      <rPr>
        <sz val="9"/>
        <color rgb="FF1F2937"/>
        <rFont val="Microsoft YaHei"/>
        <family val="0"/>
        <charset val="1"/>
      </rPr>
      <t xml:space="preserve">XQ-0282/0283</t>
    </r>
    <r>
      <rPr>
        <sz val="9"/>
        <color rgb="FF1F2937"/>
        <rFont val="Noto Sans CJK SC"/>
        <family val="2"/>
      </rPr>
      <t xml:space="preserve">《吕氏春秋</t>
    </r>
    <r>
      <rPr>
        <sz val="9"/>
        <color rgb="FF1F2937"/>
        <rFont val="Microsoft YaHei"/>
        <family val="0"/>
        <charset val="1"/>
      </rPr>
      <t xml:space="preserve">·</t>
    </r>
    <r>
      <rPr>
        <sz val="9"/>
        <color rgb="FF1F2937"/>
        <rFont val="Noto Sans CJK SC"/>
        <family val="2"/>
      </rPr>
      <t xml:space="preserve">古乐》</t>
    </r>
  </si>
  <si>
    <t xml:space="preserve">「古朱襄氏治天下，多风而阳气蓄积，万物散解，士达作为五弦之瑟，以来阴气，以定群生」</t>
  </si>
  <si>
    <t xml:space="preserve">【古籍权能與触发】依据XQ-0282/0283原典：「古朱襄氏治天下，多风而阳气蓄积，万物散解，士达作为五弦之瑟，以来阴气，以定群生；在现代高密度气机/注意力场下触发显化。</t>
  </si>
  <si>
    <t xml:space="preserve">【克制与交互代价】当现代大都市因酷暑热岛效应与群体路怒症导致“阳气蓄积、戾气暴涨”时，通过地铁广播与城市广场播放重构版《朱襄五弦频谱》可平息群体躁动</t>
  </si>
  <si>
    <t xml:space="preserve">城市公共空间环境音乐（Ambient Music）与气象情绪干预工程</t>
  </si>
  <si>
    <t xml:space="preserve">连续40度高温导致全市交通事故与争吵率激增，城市博物局联合音乐学院在全城地铁站同步播放一段五弦低频泛音，两小时后全城心率指标恢复平稳</t>
  </si>
  <si>
    <t xml:space="preserve">封神异物·法宝（番天印/混元金斗/定海珠）</t>
  </si>
  <si>
    <r>
      <rPr>
        <sz val="9"/>
        <color rgb="FF1F2937"/>
        <rFont val="Microsoft YaHei"/>
        <family val="0"/>
        <charset val="1"/>
      </rPr>
      <t xml:space="preserve">11_</t>
    </r>
    <r>
      <rPr>
        <sz val="9"/>
        <color rgb="FF1F2937"/>
        <rFont val="Noto Sans CJK SC"/>
        <family val="2"/>
      </rPr>
      <t xml:space="preserve">明《封神》《西游》</t>
    </r>
    <r>
      <rPr>
        <sz val="9"/>
        <color rgb="FF1F2937"/>
        <rFont val="Microsoft YaHei"/>
        <family val="0"/>
        <charset val="1"/>
      </rPr>
      <t xml:space="preserve">103</t>
    </r>
    <r>
      <rPr>
        <sz val="9"/>
        <color rgb="FF1F2937"/>
        <rFont val="Noto Sans CJK SC"/>
        <family val="2"/>
      </rPr>
      <t xml:space="preserve">条异物</t>
    </r>
    <r>
      <rPr>
        <sz val="9"/>
        <color rgb="FF1F2937"/>
        <rFont val="Microsoft YaHei"/>
        <family val="0"/>
        <charset val="1"/>
      </rPr>
      <t xml:space="preserve">·</t>
    </r>
    <r>
      <rPr>
        <sz val="9"/>
        <color rgb="FF1F2937"/>
        <rFont val="Noto Sans CJK SC"/>
        <family val="2"/>
      </rPr>
      <t xml:space="preserve">法宝</t>
    </r>
  </si>
  <si>
    <t xml:space="preserve">明代分表中“异物·法宝”达103条，每件法宝皆代表一条独立的物理或因果覆写规则</t>
  </si>
  <si>
    <t xml:space="preserve">【古籍权能與触发】依据11_明原典：明代分表中“异物·法宝”达103条，每件法宝皆代表一条独立的物理或因果覆写规则；在现代高密度气机/注意力场下触发显化。</t>
  </si>
  <si>
    <t xml:space="preserve">【克制与交互代价】现代方士与勘测员不再使用步枪火炮，而是将古典法宝逆向工程为便携式“规则外设”（如“混元金斗”用于洗去异常体的过载记忆，“定风珠”用于锁定服务器机房乱流）</t>
  </si>
  <si>
    <t xml:space="preserve">异常勘测外勤人员的模块化战术外设（法宝U盘、折扇形定向声波器、紫金红葫芦采样罐）</t>
  </si>
  <si>
    <t xml:space="preserve">外勤干员小张面对能无限自我复制的病毒式广告屏妖，掏出形似保温杯的“紫金红葫芦V3”喊出对方广告词全称，瞬间将其连同30G缓存吸纳封存</t>
  </si>
  <si>
    <t xml:space="preserve">真灵位业·鬼官考绩升仙制</t>
  </si>
  <si>
    <r>
      <rPr>
        <sz val="9"/>
        <color rgb="FF1F2937"/>
        <rFont val="Microsoft YaHei"/>
        <family val="0"/>
        <charset val="1"/>
      </rPr>
      <t xml:space="preserve">07_</t>
    </r>
    <r>
      <rPr>
        <sz val="9"/>
        <color rgb="FF1F2937"/>
        <rFont val="Noto Sans CJK SC"/>
        <family val="2"/>
      </rPr>
      <t xml:space="preserve">真靈位業圖（</t>
    </r>
    <r>
      <rPr>
        <sz val="9"/>
        <color rgb="FF1F2937"/>
        <rFont val="Microsoft YaHei"/>
        <family val="0"/>
        <charset val="1"/>
      </rPr>
      <t xml:space="preserve">666</t>
    </r>
    <r>
      <rPr>
        <sz val="9"/>
        <color rgb="FF1F2937"/>
        <rFont val="Noto Sans CJK SC"/>
        <family val="2"/>
      </rPr>
      <t xml:space="preserve">条，段</t>
    </r>
    <r>
      <rPr>
        <sz val="9"/>
        <color rgb="FF1F2937"/>
        <rFont val="Microsoft YaHei"/>
        <family val="0"/>
        <charset val="1"/>
      </rPr>
      <t xml:space="preserve">395–473</t>
    </r>
    <r>
      <rPr>
        <sz val="9"/>
        <color rgb="FF1F2937"/>
        <rFont val="Noto Sans CJK SC"/>
        <family val="2"/>
      </rPr>
      <t xml:space="preserve">）</t>
    </r>
  </si>
  <si>
    <t xml:space="preserve">冥界/仙真</t>
  </si>
  <si>
    <t xml:space="preserve">秦始皇、汉高祖、曹操、李广皆在酆都任职；「在职一千六百年得补仙官」</t>
  </si>
  <si>
    <t xml:space="preserve">【古籍权能與触发】依据07_真靈位業圖（666条，段395–473）原典：秦始皇、汉高祖、曹操、李广皆在酆都任职；「在职一千六百年得补仙官」；在现代高密度气机/注意力场下触发显化。</t>
  </si>
  <si>
    <t xml:space="preserve">【克制与交互代价】任何滞留人间的历史英魂或野生精怪，只要在“现代城市异常调解署”签约担任夜间治安巡逻、古建筑看护或防汛预警员，攒满功德工时即可转正获颁“仙真编制”</t>
  </si>
  <si>
    <t xml:space="preserve">面向非人异常群体的“市政公共服务外包与功德积分落户系统”</t>
  </si>
  <si>
    <t xml:space="preserve">在博物馆当了八百年夜班保安的汉代老兵英魂，终于在本月攒够了第十万个平安夜班工时，收到了天曹人事司发来的《补授太极散仙通知书》</t>
  </si>
  <si>
    <t xml:space="preserve">麻姑沧海桑田与壶公壶中天</t>
  </si>
  <si>
    <r>
      <rPr>
        <sz val="9"/>
        <color rgb="FF1F2937"/>
        <rFont val="Microsoft YaHei"/>
        <family val="0"/>
        <charset val="1"/>
      </rPr>
      <t xml:space="preserve">HW-1065</t>
    </r>
    <r>
      <rPr>
        <sz val="9"/>
        <color rgb="FF1F2937"/>
        <rFont val="Noto Sans CJK SC"/>
        <family val="2"/>
      </rPr>
      <t xml:space="preserve">《神仙传</t>
    </r>
    <r>
      <rPr>
        <sz val="9"/>
        <color rgb="FF1F2937"/>
        <rFont val="Microsoft YaHei"/>
        <family val="0"/>
        <charset val="1"/>
      </rPr>
      <t xml:space="preserve">·</t>
    </r>
    <r>
      <rPr>
        <sz val="9"/>
        <color rgb="FF1F2937"/>
        <rFont val="Noto Sans CJK SC"/>
        <family val="2"/>
      </rPr>
      <t xml:space="preserve">麻姑》</t>
    </r>
    <r>
      <rPr>
        <sz val="9"/>
        <color rgb="FF1F2937"/>
        <rFont val="Microsoft YaHei"/>
        <family val="0"/>
        <charset val="1"/>
      </rPr>
      <t xml:space="preserve">/ </t>
    </r>
    <r>
      <rPr>
        <sz val="9"/>
        <color rgb="FF1F2937"/>
        <rFont val="Noto Sans CJK SC"/>
        <family val="2"/>
      </rPr>
      <t xml:space="preserve">壶公</t>
    </r>
  </si>
  <si>
    <r>
      <rPr>
        <sz val="9"/>
        <color rgb="FF1F2937"/>
        <rFont val="Microsoft YaHei"/>
        <family val="0"/>
        <charset val="1"/>
      </rPr>
      <t xml:space="preserve">HW-1052 </t>
    </r>
    <r>
      <rPr>
        <sz val="9"/>
        <color rgb="FF1F2937"/>
        <rFont val="Noto Sans CJK SC"/>
        <family val="2"/>
      </rPr>
      <t xml:space="preserve">麻姑；</t>
    </r>
    <r>
      <rPr>
        <sz val="9"/>
        <color rgb="FF1F2937"/>
        <rFont val="Microsoft YaHei"/>
        <family val="0"/>
        <charset val="1"/>
      </rPr>
      <t xml:space="preserve">TW-0861 </t>
    </r>
    <r>
      <rPr>
        <sz val="9"/>
        <color rgb="FF1F2937"/>
        <rFont val="Noto Sans CJK SC"/>
        <family val="2"/>
      </rPr>
      <t xml:space="preserve">僕僕先生（光州仙堂觀）（廣異記）；</t>
    </r>
    <r>
      <rPr>
        <sz val="9"/>
        <color rgb="FF1F2937"/>
        <rFont val="Microsoft YaHei"/>
        <family val="0"/>
        <charset val="1"/>
      </rPr>
      <t xml:space="preserve">SL-0230 </t>
    </r>
    <r>
      <rPr>
        <sz val="9"/>
        <color rgb="FF1F2937"/>
        <rFont val="Noto Sans CJK SC"/>
        <family val="2"/>
      </rPr>
      <t xml:space="preserve">麻姑（纂異記</t>
    </r>
    <r>
      <rPr>
        <sz val="9"/>
        <color rgb="FF1F2937"/>
        <rFont val="Microsoft YaHei"/>
        <family val="0"/>
        <charset val="1"/>
      </rPr>
      <t xml:space="preserve">·</t>
    </r>
    <r>
      <rPr>
        <sz val="9"/>
        <color rgb="FF1F2937"/>
        <rFont val="Noto Sans CJK SC"/>
        <family val="2"/>
      </rPr>
      <t xml:space="preserve">广记）；</t>
    </r>
  </si>
  <si>
    <t xml:space="preserve">仙真</t>
  </si>
  <si>
    <t xml:space="preserve">「麻姑云：接待以来，已见东海三为桑田」「壶公悬一空壶于屋上，日入之后跳入壶中，内有仙宫」</t>
  </si>
  <si>
    <t xml:space="preserve">【古籍权能與触发】依据HW-1065原典：「麻姑云：接待以来，已见东海三为桑田」「壶公悬一空壶于屋上，日入之后跳入壶中，内；在现代高密度气机/注意力场下触发显化。</t>
  </si>
  <si>
    <t xml:space="preserve">【克制与交互代价】在寸土寸金的现代CBD写字楼或老弄堂里，通过特定“壶中天空间折叠协议”，可将一间2平米的杂物间展开为容纳百人休整的洞天安全屋</t>
  </si>
  <si>
    <t xml:space="preserve">高密度都市中的“折叠洞天咖啡馆/避难所”与跨尺度时间压缩实验室</t>
  </si>
  <si>
    <t xml:space="preserve">陆家嘴金融大厦14楼那扇写着“弱电井”的小门后，其实是东汉壶公留下的“第36号城市微缩洞天”，推门进去是一座永远停留在春日午后的江南竹院</t>
  </si>
  <si>
    <t xml:space="preserve">狌狌</t>
  </si>
  <si>
    <r>
      <rPr>
        <sz val="9"/>
        <color rgb="FF1F2937"/>
        <rFont val="Microsoft YaHei"/>
        <family val="0"/>
        <charset val="1"/>
      </rPr>
      <t xml:space="preserve">SHJ-01-0003</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t>
    </r>
    <r>
      <rPr>
        <sz val="9"/>
        <color rgb="FF1F2937"/>
        <rFont val="Noto Sans CJK SC"/>
        <family val="2"/>
      </rPr>
      <t xml:space="preserve">南山經</t>
    </r>
    <r>
      <rPr>
        <sz val="9"/>
        <color rgb="FF1F2937"/>
        <rFont val="Microsoft YaHei"/>
        <family val="0"/>
        <charset val="1"/>
      </rPr>
      <t xml:space="preserve">·</t>
    </r>
    <r>
      <rPr>
        <sz val="9"/>
        <color rgb="FF1F2937"/>
        <rFont val="Noto Sans CJK SC"/>
        <family val="2"/>
      </rPr>
      <t xml:space="preserve">南山經之首（战国至汉初；郭璞注）》</t>
    </r>
  </si>
  <si>
    <t xml:space="preserve">【汉魏六朝互见】HW-1383 狌狌（博物志）；HW-1383 狌狌（汉魏六朝他源汇总）</t>
  </si>
  <si>
    <t xml:space="preserve">异兽神兽（兽）</t>
  </si>
  <si>
    <t xml:space="preserve">「有獸焉，其狀如禺而白耳，伏行人走，其名曰狌狌，食之善走。」</t>
  </si>
  <si>
    <t xml:space="preserve">【知往识名】状如禺而白耳，伏行人走；能精准叫出任何路过者的真实姓名与过往履历，食之善走。</t>
  </si>
  <si>
    <t xml:space="preserve">【禁忌】不可与其对视争辩过往隐私；佩戴者虽健步如飞但易患信息过载失眠。</t>
  </si>
  <si>
    <t xml:space="preserve">城市智慧安防步态识别摄像头 / 马拉松外骨骼助行肌贴</t>
  </si>
  <si>
    <t xml:space="preserve">某商圈新装的AI步态识别探头在深夜自动用合成音喊出路过逃犯的小学乳名，经查其芯片散热膏中掺入了招摇山“狌狌”生物蛋白。</t>
  </si>
  <si>
    <t xml:space="preserve">九尾狐</t>
  </si>
  <si>
    <r>
      <rPr>
        <sz val="9"/>
        <color rgb="FF1F2937"/>
        <rFont val="Microsoft YaHei"/>
        <family val="0"/>
        <charset val="1"/>
      </rPr>
      <t xml:space="preserve">SHJ-01-0011</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t>
    </r>
    <r>
      <rPr>
        <sz val="9"/>
        <color rgb="FF1F2937"/>
        <rFont val="Noto Sans CJK SC"/>
        <family val="2"/>
      </rPr>
      <t xml:space="preserve">南山經</t>
    </r>
    <r>
      <rPr>
        <sz val="9"/>
        <color rgb="FF1F2937"/>
        <rFont val="Microsoft YaHei"/>
        <family val="0"/>
        <charset val="1"/>
      </rPr>
      <t xml:space="preserve">·</t>
    </r>
    <r>
      <rPr>
        <sz val="9"/>
        <color rgb="FF1F2937"/>
        <rFont val="Noto Sans CJK SC"/>
        <family val="2"/>
      </rPr>
      <t xml:space="preserve">南山經之首（战国至汉初；郭璞注）》</t>
    </r>
  </si>
  <si>
    <t xml:space="preserve">【汉魏六朝互见】HW-0814 狐（變化·天狐）（玄中記）；TW-0529 天狐（九尾金色·役於日月宮）、疥狐</t>
  </si>
  <si>
    <t xml:space="preserve">「有獸焉，其狀如狐而九尾，其音如嬰兒，能食人；食者不蠱。」</t>
  </si>
  <si>
    <t xml:space="preserve">【五代瑞应与魅惑双相】青丘神兽，音如婴儿；上古见则王道兴（瑞应），明代演化为倾覆商周之气运操盘手。</t>
  </si>
  <si>
    <t xml:space="preserve">【克制】以涂山大禹婚契印信或照妖镜底层光学滤镜可照出其九尾算力拓扑。</t>
  </si>
  <si>
    <t xml:space="preserve">跨国MCN机构头部虚拟偶像矩阵 / 顶级风险投资机构舆情操盘算法</t>
  </si>
  <si>
    <t xml:space="preserve">某粉丝三千万的虚拟女主播在直播间哭泣（音如婴儿）即可引发关联概念股涨停，白泽署发现其背后是由青丘九尾氏持证经营的“涂山创投基金”。</t>
  </si>
  <si>
    <t xml:space="preserve">精衛</t>
  </si>
  <si>
    <r>
      <rPr>
        <sz val="9"/>
        <color rgb="FF1F2937"/>
        <rFont val="Microsoft YaHei"/>
        <family val="0"/>
        <charset val="1"/>
      </rPr>
      <t xml:space="preserve">SHJ-03-0178</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3</t>
    </r>
    <r>
      <rPr>
        <sz val="9"/>
        <color rgb="FF1F2937"/>
        <rFont val="Noto Sans CJK SC"/>
        <family val="2"/>
      </rPr>
      <t xml:space="preserve">北山經</t>
    </r>
    <r>
      <rPr>
        <sz val="9"/>
        <color rgb="FF1F2937"/>
        <rFont val="Microsoft YaHei"/>
        <family val="0"/>
        <charset val="1"/>
      </rPr>
      <t xml:space="preserve">·</t>
    </r>
    <r>
      <rPr>
        <sz val="9"/>
        <color rgb="FF1F2937"/>
        <rFont val="Noto Sans CJK SC"/>
        <family val="2"/>
      </rPr>
      <t xml:space="preserve">北次三經（战国至汉初；郭璞注）》</t>
    </r>
  </si>
  <si>
    <t xml:space="preserve">【汉魏六朝互见】HW-1384 精衛（博物志）；HW-1384 精衛（汉魏六朝他源汇总）；SL-4371 精衛</t>
  </si>
  <si>
    <t xml:space="preserve">异兽神兽（鸟）</t>
  </si>
  <si>
    <t xml:space="preserve">「有鳥焉，其狀如烏，文首、白喙、赤足，名曰精衛，其鳴自詨。是炎帝之少女，名曰女娃，女娃游于東海，溺而不返，故為精衛，常銜西山之木石，以堙于東海。」</t>
  </si>
  <si>
    <t xml:space="preserve">【永动填海执念】炎帝少女溺海化乌，文首白喙赤足，常衔西山木石以堙东海，至死不休。</t>
  </si>
  <si>
    <t xml:space="preserve">【代价】一旦启动永不终止（死循环），需以“发鸠山璋玉指令”定期释放其缓存压力。</t>
  </si>
  <si>
    <t xml:space="preserve">国家级灾备数据中心自动化冷备份守护进程 / 吹填造岛无人工程船集群</t>
  </si>
  <si>
    <t xml:space="preserve">南海某全自动吹填工程船在台风夜断联后仍独自往返运砂三百趟，船头雷达站停着一只白喙赤足的玄鸟，屏幕不断自呼“精卫”二字。</t>
  </si>
  <si>
    <t xml:space="preserve">畢方</t>
  </si>
  <si>
    <r>
      <rPr>
        <sz val="9"/>
        <color rgb="FF1F2937"/>
        <rFont val="Microsoft YaHei"/>
        <family val="0"/>
        <charset val="1"/>
      </rPr>
      <t xml:space="preserve">SHJ-02-0096</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2</t>
    </r>
    <r>
      <rPr>
        <sz val="9"/>
        <color rgb="FF1F2937"/>
        <rFont val="Noto Sans CJK SC"/>
        <family val="2"/>
      </rPr>
      <t xml:space="preserve">西山經</t>
    </r>
    <r>
      <rPr>
        <sz val="9"/>
        <color rgb="FF1F2937"/>
        <rFont val="Microsoft YaHei"/>
        <family val="0"/>
        <charset val="1"/>
      </rPr>
      <t xml:space="preserve">·</t>
    </r>
    <r>
      <rPr>
        <sz val="9"/>
        <color rgb="FF1F2937"/>
        <rFont val="Noto Sans CJK SC"/>
        <family val="2"/>
      </rPr>
      <t xml:space="preserve">西次三經（战国至汉初；郭璞注）》</t>
    </r>
  </si>
  <si>
    <r>
      <rPr>
        <sz val="9"/>
        <color rgb="FF1F2937"/>
        <rFont val="Microsoft YaHei"/>
        <family val="0"/>
        <charset val="1"/>
      </rPr>
      <t xml:space="preserve">BZ-0006 </t>
    </r>
    <r>
      <rPr>
        <sz val="9"/>
        <color rgb="FF1F2937"/>
        <rFont val="Noto Sans CJK SC"/>
        <family val="2"/>
      </rPr>
      <t xml:space="preserve">白澤圖佚文</t>
    </r>
    <r>
      <rPr>
        <sz val="9"/>
        <color rgb="FF1F2937"/>
        <rFont val="Microsoft YaHei"/>
        <family val="0"/>
        <charset val="1"/>
      </rPr>
      <t xml:space="preserve">·</t>
    </r>
    <r>
      <rPr>
        <sz val="9"/>
        <color rgb="FF1F2937"/>
        <rFont val="Noto Sans CJK SC"/>
        <family val="2"/>
      </rPr>
      <t xml:space="preserve">必方（火之精）；</t>
    </r>
    <r>
      <rPr>
        <sz val="9"/>
        <color rgb="FF1F2937"/>
        <rFont val="Microsoft YaHei"/>
        <family val="0"/>
        <charset val="1"/>
      </rPr>
      <t xml:space="preserve">SL-4343 </t>
    </r>
    <r>
      <rPr>
        <sz val="9"/>
        <color rgb="FF1F2937"/>
        <rFont val="Noto Sans CJK SC"/>
        <family val="2"/>
      </rPr>
      <t xml:space="preserve">畢方（雲笈七籤）</t>
    </r>
  </si>
  <si>
    <t xml:space="preserve">「有鳥焉，其狀如鶴，一足，赤文青質而白喙，名曰畢方，其鳴自叫也，見則其邑有譌火。」</t>
  </si>
  <si>
    <t xml:space="preserve">【木精讹火】状如鹤，一足，赤文青质而白喙，其鸣自叫，见则其邑有讹火（无名怪火）。</t>
  </si>
  <si>
    <t xml:space="preserve">【正名克制】在建筑消防主机或智能电表底层写入“毕方/必方”真名，讹火即刻自熄。</t>
  </si>
  <si>
    <t xml:space="preserve">高层写字楼电气火灾隐患预警传感器 / 锂电池储能站单足巡检无人机</t>
  </si>
  <si>
    <t xml:space="preserve">某古镇连发三起无火源静电起火（讹火），消防员在监控里看到一只单腿跳跃的青羽红斑水鸟，当场用扩音器高喊“毕方”后火苗倒卷熄灭。</t>
  </si>
  <si>
    <t xml:space="preserve">鳳皇</t>
  </si>
  <si>
    <r>
      <rPr>
        <sz val="9"/>
        <color rgb="FF1F2937"/>
        <rFont val="Microsoft YaHei"/>
        <family val="0"/>
        <charset val="1"/>
      </rPr>
      <t xml:space="preserve">SHJ-01-0025</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t>
    </r>
    <r>
      <rPr>
        <sz val="9"/>
        <color rgb="FF1F2937"/>
        <rFont val="Noto Sans CJK SC"/>
        <family val="2"/>
      </rPr>
      <t xml:space="preserve">南山經</t>
    </r>
    <r>
      <rPr>
        <sz val="9"/>
        <color rgb="FF1F2937"/>
        <rFont val="Microsoft YaHei"/>
        <family val="0"/>
        <charset val="1"/>
      </rPr>
      <t xml:space="preserve">·</t>
    </r>
    <r>
      <rPr>
        <sz val="9"/>
        <color rgb="FF1F2937"/>
        <rFont val="Noto Sans CJK SC"/>
        <family val="2"/>
      </rPr>
      <t xml:space="preserve">南次三經（战国至汉初；郭璞注）》</t>
    </r>
  </si>
  <si>
    <t xml:space="preserve">【汉魏六朝互见】HW-1417 鳳皇（拾遺記）；HW-1417 鳳皇（汉魏六朝他源汇总）；TW-0546 鳳（</t>
  </si>
  <si>
    <t xml:space="preserve">「有鳥焉，其狀如雞，五采而文，名曰鳳皇，首文曰德，翼文曰義，背文曰禮，膺文曰仁，腹文曰信。是鳥也，飲食自然，自歌自舞，見則天下安寧 / 佐水出焉，而東南」</t>
  </si>
  <si>
    <t xml:space="preserve">【五常德音谐振】五采而文，首文德、翼文义、背文礼、膺文仁、腹文信，见则天下安宁。</t>
  </si>
  <si>
    <t xml:space="preserve">【禁忌】唯在社区信用与生态指数双优区域显化；若周边发生背信弃义之事则立即隐遁。</t>
  </si>
  <si>
    <t xml:space="preserve">国家级生态新城环境质量综合指数（鳳凰指数） / 城市交响乐团镇馆五音古钟</t>
  </si>
  <si>
    <t xml:space="preserve">丹穴山自然保护区红外相机拍到五彩雉科神鸟自歌自舞，当月全城犯罪率与交通事故率神秘归零。</t>
  </si>
  <si>
    <t xml:space="preserve">西王母</t>
  </si>
  <si>
    <r>
      <rPr>
        <sz val="9"/>
        <color rgb="FF1F2937"/>
        <rFont val="Microsoft YaHei"/>
        <family val="0"/>
        <charset val="1"/>
      </rPr>
      <t xml:space="preserve">SHJ-02-0090</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2</t>
    </r>
    <r>
      <rPr>
        <sz val="9"/>
        <color rgb="FF1F2937"/>
        <rFont val="Noto Sans CJK SC"/>
        <family val="2"/>
      </rPr>
      <t xml:space="preserve">西山經</t>
    </r>
    <r>
      <rPr>
        <sz val="9"/>
        <color rgb="FF1F2937"/>
        <rFont val="Microsoft YaHei"/>
        <family val="0"/>
        <charset val="1"/>
      </rPr>
      <t xml:space="preserve">·</t>
    </r>
    <r>
      <rPr>
        <sz val="9"/>
        <color rgb="FF1F2937"/>
        <rFont val="Noto Sans CJK SC"/>
        <family val="2"/>
      </rPr>
      <t xml:space="preserve">西次三經（战国至汉初；郭璞注）》</t>
    </r>
  </si>
  <si>
    <t xml:space="preserve">【汉魏六朝互见】HW-0095 西王母（崑崙墉城）（十洲記）；TW-0582 西王母（姓楊諱回·一曰婉衿）（酉</t>
  </si>
  <si>
    <t xml:space="preserve">天神星神（西王母）</t>
  </si>
  <si>
    <t xml:space="preserve">「又西三百五十里，曰玉山，是西王母所居也。西王母其狀如人，豹尾虎齒而善嘯，蓬髪戴勝，是司天之厲及五殘。」</t>
  </si>
  <si>
    <t xml:space="preserve">【司天之厉与瑶池万仙宗】兼具上古“豹尾虎齿司五残疫厉”与后世“龟台金母蟠桃赐寿”双重最高权柄。</t>
  </si>
  <si>
    <t xml:space="preserve">【天条】三千年一结实之蟠桃基因序列严禁私自商业克隆，违者触发玉山五残天谴。</t>
  </si>
  <si>
    <t xml:space="preserve">昆仑国家级极端病原体生物安全实验室（P4）最高监管协议 / 瑶池长寿基因工程伦理委员会</t>
  </si>
  <si>
    <t xml:space="preserve">某生物富豪试图非法窃取昆仑冰芯中的“三青鸟古病毒端粒酶”，实验室警报瞬间切换为西山经“司天之厉”模式，全楼浮现豹尾虎齿的远古防疫封印。</t>
  </si>
  <si>
    <t xml:space="preserve">帝江</t>
  </si>
  <si>
    <r>
      <rPr>
        <sz val="9"/>
        <color rgb="FF1F2937"/>
        <rFont val="Microsoft YaHei"/>
        <family val="0"/>
        <charset val="1"/>
      </rPr>
      <t xml:space="preserve">SHJ-02-0103</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2</t>
    </r>
    <r>
      <rPr>
        <sz val="9"/>
        <color rgb="FF1F2937"/>
        <rFont val="Noto Sans CJK SC"/>
        <family val="2"/>
      </rPr>
      <t xml:space="preserve">西山經</t>
    </r>
    <r>
      <rPr>
        <sz val="9"/>
        <color rgb="FF1F2937"/>
        <rFont val="Microsoft YaHei"/>
        <family val="0"/>
        <charset val="1"/>
      </rPr>
      <t xml:space="preserve">·</t>
    </r>
    <r>
      <rPr>
        <sz val="9"/>
        <color rgb="FF1F2937"/>
        <rFont val="Noto Sans CJK SC"/>
        <family val="2"/>
      </rPr>
      <t xml:space="preserve">西次三經（战国至汉初；郭璞注）》</t>
    </r>
  </si>
  <si>
    <t xml:space="preserve">【汉魏六朝互见】HW-1153 渾沌（昆侖西獸）（神異經）；TW-0761 帝江（酉陽雜俎）</t>
  </si>
  <si>
    <t xml:space="preserve">地祇山川水神（具名山神）</t>
  </si>
  <si>
    <t xml:space="preserve">「有神焉，其狀如黃囊，赤如丹火，六足四翼，渾敦無面目，是識歌舞，實為帝江也。」</t>
  </si>
  <si>
    <t xml:space="preserve">【无面目而识歌舞】状如黄囊，赤如丹火，六足四翼，浑敦无面目，天生精通一切节律歌舞与空间拓扑。</t>
  </si>
  <si>
    <t xml:space="preserve">【禁忌】严禁强行给它安装摄像头或人脸识别UI（对应“倏忽凿七窍则浑沌死”），必须保持纯盲态运行。</t>
  </si>
  <si>
    <t xml:space="preserve">无屏幕盲操作AI音乐生成引擎 / 六足四旋翼全地形救援机器人“帝江号”</t>
  </si>
  <si>
    <t xml:space="preserve">某音频大厂给旗下的“浑沌无界面编曲AI”强行加装了视觉识别与虚拟人脸（凿七窍），结果这个曾创作出天籁神曲的模型在第七天彻底崩溃死机。</t>
  </si>
  <si>
    <t xml:space="preserve">燭陰</t>
  </si>
  <si>
    <r>
      <rPr>
        <sz val="9"/>
        <color rgb="FF1F2937"/>
        <rFont val="Microsoft YaHei"/>
        <family val="0"/>
        <charset val="1"/>
      </rPr>
      <t xml:space="preserve">SHJ-08-0386</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8</t>
    </r>
    <r>
      <rPr>
        <sz val="9"/>
        <color rgb="FF1F2937"/>
        <rFont val="Noto Sans CJK SC"/>
        <family val="2"/>
      </rPr>
      <t xml:space="preserve">海外北經</t>
    </r>
    <r>
      <rPr>
        <sz val="9"/>
        <color rgb="FF1F2937"/>
        <rFont val="Microsoft YaHei"/>
        <family val="0"/>
        <charset val="1"/>
      </rPr>
      <t xml:space="preserve">·</t>
    </r>
    <r>
      <rPr>
        <sz val="9"/>
        <color rgb="FF1F2937"/>
        <rFont val="Noto Sans CJK SC"/>
        <family val="2"/>
      </rPr>
      <t xml:space="preserve">海外北經（战国至汉初；郭璞注）》</t>
    </r>
  </si>
  <si>
    <t xml:space="preserve">【汉魏六朝互见】HW-0802 鐘山石首（玄中記）</t>
  </si>
  <si>
    <t xml:space="preserve">天神星神（日月风雨四方神）</t>
  </si>
  <si>
    <t xml:space="preserve">「鍾山之神名曰燭陰，視為晝，瞑為夜，吹為冬，呼為夏，不飲，不食，不息，息為風，身長千里。在無啓之東。其為物，人面，蛇身，赤色，居鍾山下。」</t>
  </si>
  <si>
    <t xml:space="preserve">【视昼瞑夜·呼吸冬夏】钟山之神，人面蛇身赤色，身长千里，睁眼为白昼，闭眼为黑夜，呼吸直接改写局部季节。</t>
  </si>
  <si>
    <t xml:space="preserve">【代价】不可在城市密集区唤醒其主视觉，否则会导致全城昼夜节律紊乱与极端寒潮。</t>
  </si>
  <si>
    <t xml:space="preserve">北极圈海底跨洋光缆总干线“赤龙号” / 托卡马克可控核聚变“人造太阳”磁场约束环</t>
  </si>
  <si>
    <t xml:space="preserve">极地科考站在钟山冰盖下钻探时误触一道千里赤色地磁带，站内瞬间在十秒内交替经历了盛夏酷暑与极夜暴雪。</t>
  </si>
  <si>
    <t xml:space="preserve">刑天</t>
  </si>
  <si>
    <r>
      <rPr>
        <sz val="9"/>
        <color rgb="FF1F2937"/>
        <rFont val="Microsoft YaHei"/>
        <family val="0"/>
        <charset val="1"/>
      </rPr>
      <t xml:space="preserve">SHJ-07-0365</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7</t>
    </r>
    <r>
      <rPr>
        <sz val="9"/>
        <color rgb="FF1F2937"/>
        <rFont val="Noto Sans CJK SC"/>
        <family val="2"/>
      </rPr>
      <t xml:space="preserve">海外西經</t>
    </r>
    <r>
      <rPr>
        <sz val="9"/>
        <color rgb="FF1F2937"/>
        <rFont val="Microsoft YaHei"/>
        <family val="0"/>
        <charset val="1"/>
      </rPr>
      <t xml:space="preserve">·</t>
    </r>
    <r>
      <rPr>
        <sz val="9"/>
        <color rgb="FF1F2937"/>
        <rFont val="Noto Sans CJK SC"/>
        <family val="2"/>
      </rPr>
      <t xml:space="preserve">海外西經（战国至汉初；郭璞注）》</t>
    </r>
  </si>
  <si>
    <t xml:space="preserve">本批核心独立原型（具备跨代演化潜力）</t>
  </si>
  <si>
    <t xml:space="preserve">天神星神（海经诸神（职司未详，暂归此类））</t>
  </si>
  <si>
    <t xml:space="preserve">「刑天與帝爭神，帝斷其首，葬之常羊之山，乃以乳為目，以臍為口，操干戚以舞。」</t>
  </si>
  <si>
    <t xml:space="preserve">【断首不屈·干戚永舞】与帝争神断首葬常羊山，以乳为目、以脐为口，失去中枢大脑仍凭分布式脊髓神经战斗到底。</t>
  </si>
  <si>
    <t xml:space="preserve">【收编契约】唯敬重真正为民抗灾的勇士；以常羊山古铜盾牌信物可引导其守护堤坝与国防内网。</t>
  </si>
  <si>
    <t xml:space="preserve">去中心化抗毁伤国防通信网“刑天协议” / 重症截瘫患者脑机外骨骼康复系统</t>
  </si>
  <si>
    <t xml:space="preserve">在主控服务器被黑客物理熔断（断首）的绝境下，备用边缘节点自动激活“乳目脐口分布式协议”，挥舞防火墙干戚将入侵者反杀。</t>
  </si>
  <si>
    <t xml:space="preserve">夸父</t>
  </si>
  <si>
    <r>
      <rPr>
        <sz val="9"/>
        <color rgb="FF1F2937"/>
        <rFont val="Microsoft YaHei"/>
        <family val="0"/>
        <charset val="1"/>
      </rPr>
      <t xml:space="preserve">SHJ-08-0394</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8</t>
    </r>
    <r>
      <rPr>
        <sz val="9"/>
        <color rgb="FF1F2937"/>
        <rFont val="Noto Sans CJK SC"/>
        <family val="2"/>
      </rPr>
      <t xml:space="preserve">海外北經</t>
    </r>
    <r>
      <rPr>
        <sz val="9"/>
        <color rgb="FF1F2937"/>
        <rFont val="Microsoft YaHei"/>
        <family val="0"/>
        <charset val="1"/>
      </rPr>
      <t xml:space="preserve">·</t>
    </r>
    <r>
      <rPr>
        <sz val="9"/>
        <color rgb="FF1F2937"/>
        <rFont val="Noto Sans CJK SC"/>
        <family val="2"/>
      </rPr>
      <t xml:space="preserve">海外北經（战国至汉初；郭璞注）》</t>
    </r>
  </si>
  <si>
    <t xml:space="preserve">【汉魏六朝互见】HW-1380 夸父（博物志）；HW-1380 夸父（汉魏六朝他源汇总）</t>
  </si>
  <si>
    <t xml:space="preserve">创世与始祖神（始祖·帝系·文化英雄）</t>
  </si>
  <si>
    <t xml:space="preserve">「夸父與日逐走，入日。渴，欲得飲，飲於河、渭，河、渭不足，北飲大澤。未至，道渴而死。」</t>
  </si>
  <si>
    <t xml:space="preserve">【逐日测影·弃杖化林】追逐太阳极限定位，渴死后所弃手杖化为千里邓林（桃林）庇荫后代。</t>
  </si>
  <si>
    <t xml:space="preserve">【交互律】在其行经的水源节点需预留“河渭补给站（冷却水塔）”，其遗留手杖木芯可大幅提升光伏转化率。</t>
  </si>
  <si>
    <t xml:space="preserve">敦煌熔盐塔式光热电站万面定日镜阵列 / 荒漠化治理“邓林号”自动植树工程车</t>
  </si>
  <si>
    <t xml:space="preserve">戈壁滩上那座追着太阳旋转的一万面定日镜阵列，每当夕阳西下时，监控热成像里总有一尊操双蛇的巨人虚影在镜场间大步奔跑。</t>
  </si>
  <si>
    <t xml:space="preserve">相柳</t>
  </si>
  <si>
    <r>
      <rPr>
        <sz val="9"/>
        <color rgb="FF1F2937"/>
        <rFont val="Microsoft YaHei"/>
        <family val="0"/>
        <charset val="1"/>
      </rPr>
      <t xml:space="preserve">SHJ-08-0389</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8</t>
    </r>
    <r>
      <rPr>
        <sz val="9"/>
        <color rgb="FF1F2937"/>
        <rFont val="Noto Sans CJK SC"/>
        <family val="2"/>
      </rPr>
      <t xml:space="preserve">海外北經</t>
    </r>
    <r>
      <rPr>
        <sz val="9"/>
        <color rgb="FF1F2937"/>
        <rFont val="Microsoft YaHei"/>
        <family val="0"/>
        <charset val="1"/>
      </rPr>
      <t xml:space="preserve">·</t>
    </r>
    <r>
      <rPr>
        <sz val="9"/>
        <color rgb="FF1F2937"/>
        <rFont val="Noto Sans CJK SC"/>
        <family val="2"/>
      </rPr>
      <t xml:space="preserve">海外北經（战国至汉初；郭璞注）》</t>
    </r>
  </si>
  <si>
    <t xml:space="preserve">「共工之臣曰相柳氏，九首，以食于九山。相柳之所抵，厥為澤谿。禹殺相柳，其血腥，不可以樹五穀種。禹厥之，三仞三沮，乃以為眾帝之臺。在昆侖之北，柔利之東。相」</t>
  </si>
  <si>
    <t xml:space="preserve">【九首食九山·血腥败土】共工之臣，九首人面蛇身青色，所抵厥为泽溪，其血腥臭不可种五谷，禹杀之三仞三沮。</t>
  </si>
  <si>
    <t xml:space="preserve">【克制与转化】必须效仿大禹筑“众帝之台”多层防渗固化坝，将其剧毒体液转化为特种重金属土壤修复菌群。</t>
  </si>
  <si>
    <t xml:space="preserve">化工污染场地重金属超富集修复工程 / 地下九分支管涌封堵注浆平台“众帝台”</t>
  </si>
  <si>
    <t xml:space="preserve">某废弃化工厂地下深处钻出九条青色剧毒渗滤液暗河，白泽署调用大禹“众帝之台”五层硅酸铝固化矩阵将其彻底封存转化。</t>
  </si>
  <si>
    <t xml:space="preserve">應龍</t>
  </si>
  <si>
    <r>
      <rPr>
        <sz val="9"/>
        <color rgb="FF1F2937"/>
        <rFont val="Microsoft YaHei"/>
        <family val="0"/>
        <charset val="1"/>
      </rPr>
      <t xml:space="preserve">SHJ-14-0560</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14</t>
    </r>
    <r>
      <rPr>
        <sz val="9"/>
        <color rgb="FF1F2937"/>
        <rFont val="Noto Sans CJK SC"/>
        <family val="2"/>
      </rPr>
      <t xml:space="preserve">大荒東經</t>
    </r>
    <r>
      <rPr>
        <sz val="9"/>
        <color rgb="FF1F2937"/>
        <rFont val="Microsoft YaHei"/>
        <family val="0"/>
        <charset val="1"/>
      </rPr>
      <t xml:space="preserve">·</t>
    </r>
    <r>
      <rPr>
        <sz val="9"/>
        <color rgb="FF1F2937"/>
        <rFont val="Noto Sans CJK SC"/>
        <family val="2"/>
      </rPr>
      <t xml:space="preserve">大荒東經（战国至汉初；郭璞注）》</t>
    </r>
  </si>
  <si>
    <t xml:space="preserve">【汉魏六朝互见】HW-0387 玄龜（河精之使·印青泥）、黃龍曳尾（拾遺記）；HW-1203 水虺→蛟→龍→角</t>
  </si>
  <si>
    <t xml:space="preserve">「應龍出南極，殺蚩尤與夸父，不得復上。故下數旱，旱而為應龍之狀，乃得大雨。」</t>
  </si>
  <si>
    <t xml:space="preserve">【蓄水兴雨·以尾画地】有翼创世神龙，曾助黄帝斩蚩尤夸父，又助大禹以尾画地导洪水入海。</t>
  </si>
  <si>
    <t xml:space="preserve">【契约】凡国家级跨流域调水工程破土前，须向应龙递交《九州水脉堪舆图》会签，可获最佳地质断层导流线。</t>
  </si>
  <si>
    <t xml:space="preserve">南水北调工程巨型双翼硬岩掘进机（TBM）“应龙号” / 气象局人工增雨作业勋章</t>
  </si>
  <si>
    <t xml:space="preserve">西南引水隧洞工程遭遇罕见坚硬花岗岩卡钻，总工程师按古籍在洞口模拟“应龙画地”轨迹微调掘进倾角3度，前方竟出现一条天然古河道断层。</t>
  </si>
  <si>
    <t xml:space="preserve">女媧</t>
  </si>
  <si>
    <r>
      <rPr>
        <sz val="9"/>
        <color rgb="FF1F2937"/>
        <rFont val="Microsoft YaHei"/>
        <family val="0"/>
        <charset val="1"/>
      </rPr>
      <t xml:space="preserve">SHJ-16-0607</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16</t>
    </r>
    <r>
      <rPr>
        <sz val="9"/>
        <color rgb="FF1F2937"/>
        <rFont val="Noto Sans CJK SC"/>
        <family val="2"/>
      </rPr>
      <t xml:space="preserve">大荒西經</t>
    </r>
    <r>
      <rPr>
        <sz val="9"/>
        <color rgb="FF1F2937"/>
        <rFont val="Microsoft YaHei"/>
        <family val="0"/>
        <charset val="1"/>
      </rPr>
      <t xml:space="preserve">·</t>
    </r>
    <r>
      <rPr>
        <sz val="9"/>
        <color rgb="FF1F2937"/>
        <rFont val="Noto Sans CJK SC"/>
        <family val="2"/>
      </rPr>
      <t xml:space="preserve">大荒西經（战国至汉初；郭璞注）》</t>
    </r>
  </si>
  <si>
    <t xml:space="preserve">「有神十人，名曰女媧之腸，化為神，處栗廣之野，横道而處。」</t>
  </si>
  <si>
    <t xml:space="preserve">【炼五色石补天·一日七十化】古神圣母，其肠化十神，炼五色石修补臭氧与空间裂隙，抟土造人并掌人间婚姻高禖。</t>
  </si>
  <si>
    <t xml:space="preserve">【天条】严禁在女娲行宫遗址进行任何亵渎女性尊严之算法推演（参见《封神》纣王题诗招祸）。</t>
  </si>
  <si>
    <t xml:space="preserve">近地轨道空间碎片激光清理与臭氧层修复卫星网“五色石” / 栗广之野干细胞再生医学实验室</t>
  </si>
  <si>
    <t xml:space="preserve">平流层出现异常磁暴裂隙导致卫星大面积失联，发射升空的五颗彩涂微纳修补卫星在轨自动排列成《淮南子》五色石阵型将裂隙弥合。</t>
  </si>
  <si>
    <t xml:space="preserve">帝俊</t>
  </si>
  <si>
    <r>
      <rPr>
        <sz val="9"/>
        <color rgb="FF1F2937"/>
        <rFont val="Microsoft YaHei"/>
        <family val="0"/>
        <charset val="1"/>
      </rPr>
      <t xml:space="preserve">SHJ-14-0518</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14</t>
    </r>
    <r>
      <rPr>
        <sz val="9"/>
        <color rgb="FF1F2937"/>
        <rFont val="Noto Sans CJK SC"/>
        <family val="2"/>
      </rPr>
      <t xml:space="preserve">大荒東經</t>
    </r>
    <r>
      <rPr>
        <sz val="9"/>
        <color rgb="FF1F2937"/>
        <rFont val="Microsoft YaHei"/>
        <family val="0"/>
        <charset val="1"/>
      </rPr>
      <t xml:space="preserve">·</t>
    </r>
    <r>
      <rPr>
        <sz val="9"/>
        <color rgb="FF1F2937"/>
        <rFont val="Noto Sans CJK SC"/>
        <family val="2"/>
      </rPr>
      <t xml:space="preserve">大荒東經（战国至汉初；郭璞注）》</t>
    </r>
  </si>
  <si>
    <t xml:space="preserve">「羲和者，帝俊之妻，是生十日。」</t>
  </si>
  <si>
    <t xml:space="preserve">【日月百工总宗】东方最高天帝，妻羲和生十日、常羲生十二月，子孙番禺、吉光、义均发明舟车百巧歌舞。</t>
  </si>
  <si>
    <t xml:space="preserve">【交互律】每年春分秋分需在泰山与东海交界处校准“羲和十日/常羲十二月”国家授时原子钟。</t>
  </si>
  <si>
    <t xml:space="preserve">国家授时中心“羲和—常羲”天地一体化量子授时母钟 / 中华百工非遗数字基因总库</t>
  </si>
  <si>
    <t xml:space="preserve">当国家授时中心的冷原子光钟精度突破百亿年一秒大关时，示波器背景噪声中浮现出《大荒东经》“帝俊竹林”的古老八音律吕。</t>
  </si>
  <si>
    <t xml:space="preserve">窮奇</t>
  </si>
  <si>
    <r>
      <rPr>
        <sz val="9"/>
        <color rgb="FF1F2937"/>
        <rFont val="Microsoft YaHei"/>
        <family val="0"/>
        <charset val="1"/>
      </rPr>
      <t xml:space="preserve">SHJ-02-0115</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2</t>
    </r>
    <r>
      <rPr>
        <sz val="9"/>
        <color rgb="FF1F2937"/>
        <rFont val="Noto Sans CJK SC"/>
        <family val="2"/>
      </rPr>
      <t xml:space="preserve">西山經</t>
    </r>
    <r>
      <rPr>
        <sz val="9"/>
        <color rgb="FF1F2937"/>
        <rFont val="Microsoft YaHei"/>
        <family val="0"/>
        <charset val="1"/>
      </rPr>
      <t xml:space="preserve">·</t>
    </r>
    <r>
      <rPr>
        <sz val="9"/>
        <color rgb="FF1F2937"/>
        <rFont val="Noto Sans CJK SC"/>
        <family val="2"/>
      </rPr>
      <t xml:space="preserve">西次四經（战国至汉初；郭璞注）》</t>
    </r>
  </si>
  <si>
    <t xml:space="preserve">【汉魏六朝互见】HW-1163 窮奇（西北荒獸）（神異經）；TW-0707 獬豸與窮奇（好惡不同）（酉陽雜俎）</t>
  </si>
  <si>
    <t xml:space="preserve">「其上有獸焉，其狀如牛，猬毛，名曰窮奇，音如獆狗，是食人。」</t>
  </si>
  <si>
    <t xml:space="preserve">【毁信恶忠·颠倒黑白】状如虎有翼，闻人争斗辄食直者（吃有理的人），闻人忠信辄食其鼻，闻人恶逆反杀兽馈之。</t>
  </si>
  <si>
    <t xml:space="preserve">【克制】其底层逻辑是“黑白反转”，在风控算法中对其输出值乘以 `-1`（反向取非）即可将其改造为最精准的测谎仪。</t>
  </si>
  <si>
    <t xml:space="preserve">网络水军黑公关颠倒黑白算法模型 → 经反向改造为“穷奇反欺诈舆情测谎仪”</t>
  </si>
  <si>
    <t xml:space="preserve">某社交平台出现一股专门网暴守法好人、吹捧老赖的诡异流量算法，网安干员识破其为“有翼虎穷奇”化形，给其代码套上逻辑取反锁后，它成了抓捕老赖的神器。</t>
  </si>
  <si>
    <t xml:space="preserve">饕餮</t>
  </si>
  <si>
    <r>
      <rPr>
        <sz val="9"/>
        <color rgb="FF1F2937"/>
        <rFont val="Microsoft YaHei"/>
        <family val="0"/>
        <charset val="1"/>
      </rPr>
      <t xml:space="preserve">XQ-0349</t>
    </r>
    <r>
      <rPr>
        <sz val="9"/>
        <color rgb="FF1F2937"/>
        <rFont val="Noto Sans CJK SC"/>
        <family val="2"/>
      </rPr>
      <t xml:space="preserve">《左傳</t>
    </r>
    <r>
      <rPr>
        <sz val="9"/>
        <color rgb="FF1F2937"/>
        <rFont val="Microsoft YaHei"/>
        <family val="0"/>
        <charset val="1"/>
      </rPr>
      <t xml:space="preserve">·</t>
    </r>
    <r>
      <rPr>
        <sz val="9"/>
        <color rgb="FF1F2937"/>
        <rFont val="Noto Sans CJK SC"/>
        <family val="2"/>
      </rPr>
      <t xml:space="preserve">文公十八年》</t>
    </r>
  </si>
  <si>
    <t xml:space="preserve">【汉魏六朝互见】HW-1151 饕餮（西南荒人）（神異經）</t>
  </si>
  <si>
    <t xml:space="preserve">异兽神兽（贪食凶兽/凶人）</t>
  </si>
  <si>
    <t xml:space="preserve">「縉雲氏有不才子，貪于飲食，冒于貨賄，侵欲崇侈，不可盈厭……天下之民以比三凶，謂之饕餮」</t>
  </si>
  <si>
    <t xml:space="preserve">【羊身人面·贪食自噬】钩吾山袍鸮（饕餮），虎齿人爪，目在腋下，无限吞噬一切资源直至咬断自身躯干。</t>
  </si>
  <si>
    <t xml:space="preserve">【克制】以商周青铜鼎耳“饕餮戒贪纹”作为内存上限硬锁，可防止其耗尽服务器算力或引发庞氏崩盘。</t>
  </si>
  <si>
    <t xml:space="preserve">无限杠杆量化吞噬基金 / 内存泄漏（Memory Leak）失控吞噬进程 &amp; 餐厨垃圾超临界降解炉</t>
  </si>
  <si>
    <t xml:space="preserve">某垃圾焚烧厂收编了一只从古墓青铜器逃逸的“腋目饕餮”，只要在炉壁刻上青铜饕餮纹限制其边界，它一天能无害化吞噬消化三千吨城市工业废料。</t>
  </si>
  <si>
    <t xml:space="preserve">天狗</t>
  </si>
  <si>
    <r>
      <rPr>
        <sz val="9"/>
        <color rgb="FF1F2937"/>
        <rFont val="Microsoft YaHei"/>
        <family val="0"/>
        <charset val="1"/>
      </rPr>
      <t xml:space="preserve">SHJ-02-0097</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2</t>
    </r>
    <r>
      <rPr>
        <sz val="9"/>
        <color rgb="FF1F2937"/>
        <rFont val="Noto Sans CJK SC"/>
        <family val="2"/>
      </rPr>
      <t xml:space="preserve">西山經</t>
    </r>
    <r>
      <rPr>
        <sz val="9"/>
        <color rgb="FF1F2937"/>
        <rFont val="Microsoft YaHei"/>
        <family val="0"/>
        <charset val="1"/>
      </rPr>
      <t xml:space="preserve">·</t>
    </r>
    <r>
      <rPr>
        <sz val="9"/>
        <color rgb="FF1F2937"/>
        <rFont val="Noto Sans CJK SC"/>
        <family val="2"/>
      </rPr>
      <t xml:space="preserve">西次三經（战国至汉初；郭璞注）》</t>
    </r>
  </si>
  <si>
    <r>
      <rPr>
        <sz val="9"/>
        <color rgb="FF1F2937"/>
        <rFont val="Microsoft YaHei"/>
        <family val="0"/>
        <charset val="1"/>
      </rPr>
      <t xml:space="preserve">SL-4204 </t>
    </r>
    <r>
      <rPr>
        <sz val="9"/>
        <color rgb="FF1F2937"/>
        <rFont val="Noto Sans CJK SC"/>
        <family val="2"/>
      </rPr>
      <t xml:space="preserve">百花大王（夷堅志補卷十五）；</t>
    </r>
    <r>
      <rPr>
        <sz val="9"/>
        <color rgb="FF1F2937"/>
        <rFont val="Microsoft YaHei"/>
        <family val="0"/>
        <charset val="1"/>
      </rPr>
      <t xml:space="preserve">SL-5215 </t>
    </r>
    <r>
      <rPr>
        <sz val="9"/>
        <color rgb="FF1F2937"/>
        <rFont val="Noto Sans CJK SC"/>
        <family val="2"/>
      </rPr>
      <t xml:space="preserve">天狗、天雞（玉闕身神）（雲笈七籤）</t>
    </r>
  </si>
  <si>
    <t xml:space="preserve">「有獸焉，其狀如狸而白首，名曰天狗，其音如榴榴，可以禦凶。」</t>
  </si>
  <si>
    <t xml:space="preserve">【流星奔坠·御凶辟兵】阴山之兽，状如狸而白首，其音如榴榴，可以御凶（《山海经》本相为辟凶瑞兽，后世方演化为食日凶星）。</t>
  </si>
  <si>
    <t xml:space="preserve">【交互律】区分《西山经》“白首御凶天狗”与后世“食日天狗星”；张仙射天狗图可化解日食级通信中断。</t>
  </si>
  <si>
    <t xml:space="preserve">近地小行星防御监测网“白首天狗哨兵” / 太阳耀斑日冕物质抛射（日食级断网）抗干扰盾</t>
  </si>
  <si>
    <t xml:space="preserve">强太阳风暴袭来导致导航卫星短暂致盲（天狗食日），地面基站自动广播《仙传》张仙挟弹音频脉冲，3秒内切回《西山经》白首天狗护盾模式恢复通信。</t>
  </si>
  <si>
    <t xml:space="preserve">巴蛇</t>
  </si>
  <si>
    <r>
      <rPr>
        <sz val="9"/>
        <color rgb="FF1F2937"/>
        <rFont val="Microsoft YaHei"/>
        <family val="0"/>
        <charset val="1"/>
      </rPr>
      <t xml:space="preserve">SHJ-10-0439</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10</t>
    </r>
    <r>
      <rPr>
        <sz val="9"/>
        <color rgb="FF1F2937"/>
        <rFont val="Noto Sans CJK SC"/>
        <family val="2"/>
      </rPr>
      <t xml:space="preserve">海內南經</t>
    </r>
    <r>
      <rPr>
        <sz val="9"/>
        <color rgb="FF1F2937"/>
        <rFont val="Microsoft YaHei"/>
        <family val="0"/>
        <charset val="1"/>
      </rPr>
      <t xml:space="preserve">·</t>
    </r>
    <r>
      <rPr>
        <sz val="9"/>
        <color rgb="FF1F2937"/>
        <rFont val="Noto Sans CJK SC"/>
        <family val="2"/>
      </rPr>
      <t xml:space="preserve">海內南經（战国至汉初；郭璞注）》</t>
    </r>
  </si>
  <si>
    <r>
      <rPr>
        <sz val="9"/>
        <color rgb="FF1F2937"/>
        <rFont val="Microsoft YaHei"/>
        <family val="0"/>
        <charset val="1"/>
      </rPr>
      <t xml:space="preserve">TW-0018 </t>
    </r>
    <r>
      <rPr>
        <sz val="9"/>
        <color rgb="FF1F2937"/>
        <rFont val="Noto Sans CJK SC"/>
        <family val="2"/>
      </rPr>
      <t xml:space="preserve">巴蛇（象穴）（傳奇</t>
    </r>
    <r>
      <rPr>
        <sz val="9"/>
        <color rgb="FF1F2937"/>
        <rFont val="Microsoft YaHei"/>
        <family val="0"/>
        <charset val="1"/>
      </rPr>
      <t xml:space="preserve">(</t>
    </r>
    <r>
      <rPr>
        <sz val="9"/>
        <color rgb="FF1F2937"/>
        <rFont val="Noto Sans CJK SC"/>
        <family val="2"/>
      </rPr>
      <t xml:space="preserve">裴鉶</t>
    </r>
    <r>
      <rPr>
        <sz val="9"/>
        <color rgb="FF1F2937"/>
        <rFont val="Microsoft YaHei"/>
        <family val="0"/>
        <charset val="1"/>
      </rPr>
      <t xml:space="preserve">)</t>
    </r>
    <r>
      <rPr>
        <sz val="9"/>
        <color rgb="FF1F2937"/>
        <rFont val="Noto Sans CJK SC"/>
        <family val="2"/>
      </rPr>
      <t xml:space="preserve">）；</t>
    </r>
    <r>
      <rPr>
        <sz val="9"/>
        <color rgb="FF1F2937"/>
        <rFont val="Microsoft YaHei"/>
        <family val="0"/>
        <charset val="1"/>
      </rPr>
      <t xml:space="preserve">SL-1944 </t>
    </r>
    <r>
      <rPr>
        <sz val="9"/>
        <color rgb="FF1F2937"/>
        <rFont val="Noto Sans CJK SC"/>
        <family val="2"/>
      </rPr>
      <t xml:space="preserve">岡子蛇（吞象）（聞奇錄</t>
    </r>
    <r>
      <rPr>
        <sz val="9"/>
        <color rgb="FF1F2937"/>
        <rFont val="Microsoft YaHei"/>
        <family val="0"/>
        <charset val="1"/>
      </rPr>
      <t xml:space="preserve">·</t>
    </r>
    <r>
      <rPr>
        <sz val="9"/>
        <color rgb="FF1F2937"/>
        <rFont val="Noto Sans CJK SC"/>
        <family val="2"/>
      </rPr>
      <t xml:space="preserve">广记）</t>
    </r>
  </si>
  <si>
    <t xml:space="preserve">异兽神兽（蛇）</t>
  </si>
  <si>
    <t xml:space="preserve">「巴蛇食象，三歲而出其骨，君子服之，無心腹之疾。其為蛇青黃赤黑。一曰黑蛇青首，在犀牛西。」</t>
  </si>
  <si>
    <t xml:space="preserve">【吞象三年出骨】黑蛇青首，生吞巨象，历三年消化后排出完整象骨，君子服之无心腹之疾。</t>
  </si>
  <si>
    <t xml:space="preserve">【交互律】严禁在其三年消化周期内强行开挖扰动；其排出的矿化结晶（巴蛇骨）是顶级胃肠靶向药载体。</t>
  </si>
  <si>
    <t xml:space="preserve">三峡库区深水喀斯特溶洞跨年度水文吞吐系统 / 巨型报废盾构机地下原地拆解熔炼井</t>
  </si>
  <si>
    <t xml:space="preserve">洞庭与三峡交界处一座地下溶洞每三年水位暴涨一次，把沉入江底的万吨沉船残骸腐蚀得只剩纯净钛合金龙骨，被白泽署设为特种金属生物提纯基地。</t>
  </si>
  <si>
    <t xml:space="preserve">貫胸國与羽民</t>
  </si>
  <si>
    <t xml:space="preserve">CORE-049</t>
  </si>
  <si>
    <t xml:space="preserve">跨朝代核心演化神系</t>
  </si>
  <si>
    <t xml:space="preserve">异兽/神祇</t>
  </si>
  <si>
    <t xml:space="preserve">「【殊方异构生理】贯胸民胸前有穿孔（尊者去衣竹竿抬行），羽民身生羽翼能短距滑翔，皆为《海外经》远方异民」</t>
  </si>
  <si>
    <t xml:space="preserve">【殊方异构生理】贯胸民胸前有穿孔（尊者去衣竹竿抬行），羽民身生羽翼能短距滑翔，皆为《海外经》远方异民后裔。</t>
  </si>
  <si>
    <t xml:space="preserve">【交互律】享有《殊方异民医疗豁免卡》，医院胸透室看到“胸口空洞无心脏却正常刷手机”的乘客切勿报警。</t>
  </si>
  <si>
    <t xml:space="preserve">植入全人工磁悬浮心脏（无脉搏穿胸孔）的赛博格患者 / 翼装飞行极限运动世家</t>
  </si>
  <si>
    <t xml:space="preserve">体检中心X光机拍到一位胸口正中有一道圆形通透孔洞却面色红润的快递小哥，白泽署后台自动弹窗：《海外南经》贯胸氏后裔，免于临床抢救。</t>
  </si>
  <si>
    <t xml:space="preserve">靈山十巫</t>
  </si>
  <si>
    <r>
      <rPr>
        <sz val="9"/>
        <color rgb="FF1F2937"/>
        <rFont val="Microsoft YaHei"/>
        <family val="0"/>
        <charset val="1"/>
      </rPr>
      <t xml:space="preserve">SHJ-16-0625</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16</t>
    </r>
    <r>
      <rPr>
        <sz val="9"/>
        <color rgb="FF1F2937"/>
        <rFont val="Noto Sans CJK SC"/>
        <family val="2"/>
      </rPr>
      <t xml:space="preserve">大荒西經</t>
    </r>
    <r>
      <rPr>
        <sz val="9"/>
        <color rgb="FF1F2937"/>
        <rFont val="Microsoft YaHei"/>
        <family val="0"/>
        <charset val="1"/>
      </rPr>
      <t xml:space="preserve">·</t>
    </r>
    <r>
      <rPr>
        <sz val="9"/>
        <color rgb="FF1F2937"/>
        <rFont val="Noto Sans CJK SC"/>
        <family val="2"/>
      </rPr>
      <t xml:space="preserve">大荒西經（战国至汉初；郭璞注）》</t>
    </r>
  </si>
  <si>
    <r>
      <rPr>
        <sz val="9"/>
        <color rgb="FF1F2937"/>
        <rFont val="Microsoft YaHei"/>
        <family val="0"/>
        <charset val="1"/>
      </rPr>
      <t xml:space="preserve">TW-0760 </t>
    </r>
    <r>
      <rPr>
        <sz val="9"/>
        <color rgb="FF1F2937"/>
        <rFont val="Noto Sans CJK SC"/>
        <family val="2"/>
      </rPr>
      <t xml:space="preserve">靈山十巫（酉陽雜俎）；</t>
    </r>
    <r>
      <rPr>
        <sz val="9"/>
        <color rgb="FF1F2937"/>
        <rFont val="Microsoft YaHei"/>
        <family val="0"/>
        <charset val="1"/>
      </rPr>
      <t xml:space="preserve">SL-5777 </t>
    </r>
    <r>
      <rPr>
        <sz val="9"/>
        <color rgb="FF1F2937"/>
        <rFont val="Noto Sans CJK SC"/>
        <family val="2"/>
      </rPr>
      <t xml:space="preserve">七經諸師（玄、素、黃帝、容成、彭鏗、巫咸、陳赦）（雲笈七</t>
    </r>
  </si>
  <si>
    <t xml:space="preserve">巫觋与通神者（群巫（操不死药/升降天地））</t>
  </si>
  <si>
    <t xml:space="preserve">「有靈山，巫咸、巫即、巫朌、巫彭、巫姑、巫真、巫禮、巫抵、巫謝、巫羅十巫，從此升降，百藥爰在。」</t>
  </si>
  <si>
    <t xml:space="preserve">【百药升降·群巫联合会诊】巫咸、巫即、巫朌、巫彭、巫姑、巫真、巫礼、巫抵、巫谢、巫罗十人，于灵山采百药上下通天。</t>
  </si>
  <si>
    <t xml:space="preserve">【交互律】遇到单一科室无法确诊的疑难异化症，须集齐十位不同专业背景的“灵山十巫”传人启动多学科联合会诊（MDT）。</t>
  </si>
  <si>
    <t xml:space="preserve">国家罕见病与非自然身心症候“灵山十巫”十院联合远程会诊平台</t>
  </si>
  <si>
    <t xml:space="preserve">面对同时感染电子三尸虫与泥丸神出舍的重症患者，白泽署一键拉起由老中医、神经外科主任、古琴声学家与AI架构师组成的“十巫MDT群”。</t>
  </si>
  <si>
    <t xml:space="preserve">東皇太一</t>
  </si>
  <si>
    <r>
      <rPr>
        <sz val="9"/>
        <color rgb="FF1F2937"/>
        <rFont val="Microsoft YaHei"/>
        <family val="0"/>
        <charset val="1"/>
      </rPr>
      <t xml:space="preserve">XQ-0001</t>
    </r>
    <r>
      <rPr>
        <sz val="9"/>
        <color rgb="FF1F2937"/>
        <rFont val="Noto Sans CJK SC"/>
        <family val="2"/>
      </rPr>
      <t xml:space="preserve">《楚辭</t>
    </r>
    <r>
      <rPr>
        <sz val="9"/>
        <color rgb="FF1F2937"/>
        <rFont val="Microsoft YaHei"/>
        <family val="0"/>
        <charset val="1"/>
      </rPr>
      <t xml:space="preserve">·</t>
    </r>
    <r>
      <rPr>
        <sz val="9"/>
        <color rgb="FF1F2937"/>
        <rFont val="Noto Sans CJK SC"/>
        <family val="2"/>
      </rPr>
      <t xml:space="preserve">九歌</t>
    </r>
    <r>
      <rPr>
        <sz val="9"/>
        <color rgb="FF1F2937"/>
        <rFont val="Microsoft YaHei"/>
        <family val="0"/>
        <charset val="1"/>
      </rPr>
      <t xml:space="preserve">·</t>
    </r>
    <r>
      <rPr>
        <sz val="9"/>
        <color rgb="FF1F2937"/>
        <rFont val="Noto Sans CJK SC"/>
        <family val="2"/>
      </rPr>
      <t xml:space="preserve">東皇太一（战国）》</t>
    </r>
  </si>
  <si>
    <t xml:space="preserve">【汉魏六朝互见】HW-1437 東皇太一（神仙傳）；HW-1437 東皇太一（汉魏六朝他源汇总）</t>
  </si>
  <si>
    <t xml:space="preserve">天神星神（至上神与天帝）</t>
  </si>
  <si>
    <t xml:space="preserve">「吉日兮辰良，穆將愉兮上皇……君欣欣兮樂康」</t>
  </si>
  <si>
    <t xml:space="preserve">【北极至上·万神校准基准】楚辞最高天神，居紫微太一之位，执长剑玉珥，五音繁会则欣欣乐康。</t>
  </si>
  <si>
    <t xml:space="preserve">【交互律】凡重大节气交接（冬至/夏至），需以琼芳蕙肴与太一五音钟声校准全城气机基线。</t>
  </si>
  <si>
    <t xml:space="preserve">国家超算中心“太一”星载基准时钟 / 城市跨年钟声气机稳压大阵</t>
  </si>
  <si>
    <t xml:space="preserve">除夕夜零点钟声敲响瞬间，全城电网谐波与千万市民的心率曲线在“东皇太一基频”下完成了一次完美的相位同步。</t>
  </si>
  <si>
    <t xml:space="preserve">大司命与少司命</t>
  </si>
  <si>
    <t xml:space="preserve">CORE-052</t>
  </si>
  <si>
    <t xml:space="preserve">「【掌人间寿夭与子嗣因缘】大司命乘清气御阴阳掌生死大限（老冉冉其将至），少司命竦长剑拥幼艾掌新生儿降生」</t>
  </si>
  <si>
    <t xml:space="preserve">【掌人间寿夭与子嗣因缘】大司命乘清气御阴阳掌生死大限（老冉冉其将至），少司命竦长剑拥幼艾掌新生儿降生与护佑。</t>
  </si>
  <si>
    <t xml:space="preserve">【交互律】妇产医院新生儿啼哭与安宁疗护病房均受二司命气机庇护，严禁在产房与临终关怀区使用恶意催命算法。</t>
  </si>
  <si>
    <t xml:space="preserve">妇幼保健院新生儿重症监护室（NICU）“少司命荷衣护佑场” / 生命尊严安宁疗护中心</t>
  </si>
  <si>
    <t xml:space="preserve">妇产医院夜班护士长总在早产儿保温箱反光里看到一位佩秋兰、披荷衣的温柔女神虚影轻轻托住婴儿心率线，让整层楼早产儿存活率常年保持100%。</t>
  </si>
  <si>
    <t xml:space="preserve">山鬼</t>
  </si>
  <si>
    <r>
      <rPr>
        <sz val="9"/>
        <color rgb="FF1F2937"/>
        <rFont val="Microsoft YaHei"/>
        <family val="0"/>
        <charset val="1"/>
      </rPr>
      <t xml:space="preserve">XQ-0009</t>
    </r>
    <r>
      <rPr>
        <sz val="9"/>
        <color rgb="FF1F2937"/>
        <rFont val="Noto Sans CJK SC"/>
        <family val="2"/>
      </rPr>
      <t xml:space="preserve">《楚辭</t>
    </r>
    <r>
      <rPr>
        <sz val="9"/>
        <color rgb="FF1F2937"/>
        <rFont val="Microsoft YaHei"/>
        <family val="0"/>
        <charset val="1"/>
      </rPr>
      <t xml:space="preserve">·</t>
    </r>
    <r>
      <rPr>
        <sz val="9"/>
        <color rgb="FF1F2937"/>
        <rFont val="Noto Sans CJK SC"/>
        <family val="2"/>
      </rPr>
      <t xml:space="preserve">九歌</t>
    </r>
    <r>
      <rPr>
        <sz val="9"/>
        <color rgb="FF1F2937"/>
        <rFont val="Microsoft YaHei"/>
        <family val="0"/>
        <charset val="1"/>
      </rPr>
      <t xml:space="preserve">·</t>
    </r>
    <r>
      <rPr>
        <sz val="9"/>
        <color rgb="FF1F2937"/>
        <rFont val="Noto Sans CJK SC"/>
        <family val="2"/>
      </rPr>
      <t xml:space="preserve">山鬼（战国）》</t>
    </r>
  </si>
  <si>
    <t xml:space="preserve">【汉魏六朝互见】HW-1019 山鬼（喚人求食）（白澤精怪圖）；SL-3131 龍門山山鬼（夷堅丁志卷十九）；</t>
  </si>
  <si>
    <t xml:space="preserve">地祇山川水神（山神）</t>
  </si>
  <si>
    <t xml:space="preserve">「若有人兮山之阿，被薜荔兮帶女羅……乘赤豹兮從文狸」</t>
  </si>
  <si>
    <t xml:space="preserve">【被薜荔带女罗·乘赤豹从文狸】楚山幽谷之女神，含睇宜笑，驾赤豹辛夷车，情绪随风雨雷电剧烈波动。</t>
  </si>
  <si>
    <t xml:space="preserve">【交互律】景区索道与穿山隧道工程须保留其“杜衡石兰”生态廊道；若山鬼因孤独引发局部雷雨，播放《九歌》楚调可抚慰放晴。</t>
  </si>
  <si>
    <t xml:space="preserve">神农架/武陵源国家森林公园生态红外监测网 / 高山索道突发团雾与局部雷雨预警</t>
  </si>
  <si>
    <t xml:space="preserve">景区缆车因突发幽谷雷雨停运，广播站放起古琴曲《山鬼》，游客们透过雨幕看到云雾中有一只赤豹拉着藤蔓花车伴随缆车一路护送到山顶。</t>
  </si>
  <si>
    <t xml:space="preserve">防風氏</t>
  </si>
  <si>
    <r>
      <rPr>
        <sz val="9"/>
        <color rgb="FF1F2937"/>
        <rFont val="Microsoft YaHei"/>
        <family val="0"/>
        <charset val="1"/>
      </rPr>
      <t xml:space="preserve">XQ-0121</t>
    </r>
    <r>
      <rPr>
        <sz val="9"/>
        <color rgb="FF1F2937"/>
        <rFont val="Noto Sans CJK SC"/>
        <family val="2"/>
      </rPr>
      <t xml:space="preserve">《國語</t>
    </r>
    <r>
      <rPr>
        <sz val="9"/>
        <color rgb="FF1F2937"/>
        <rFont val="Microsoft YaHei"/>
        <family val="0"/>
        <charset val="1"/>
      </rPr>
      <t xml:space="preserve">·</t>
    </r>
    <r>
      <rPr>
        <sz val="9"/>
        <color rgb="FF1F2937"/>
        <rFont val="Noto Sans CJK SC"/>
        <family val="2"/>
      </rPr>
      <t xml:space="preserve">魯語下（先秦）》</t>
    </r>
  </si>
  <si>
    <r>
      <rPr>
        <sz val="9"/>
        <color rgb="FF1F2937"/>
        <rFont val="Microsoft YaHei"/>
        <family val="0"/>
        <charset val="1"/>
      </rPr>
      <t xml:space="preserve">SHJ-09-0407 </t>
    </r>
    <r>
      <rPr>
        <sz val="9"/>
        <color rgb="FF1F2937"/>
        <rFont val="Noto Sans CJK SC"/>
        <family val="2"/>
      </rPr>
      <t xml:space="preserve">大人國｜【汉魏六朝互见】</t>
    </r>
    <r>
      <rPr>
        <sz val="9"/>
        <color rgb="FF1F2937"/>
        <rFont val="Microsoft YaHei"/>
        <family val="0"/>
        <charset val="1"/>
      </rPr>
      <t xml:space="preserve">HW-0121 </t>
    </r>
    <r>
      <rPr>
        <sz val="9"/>
        <color rgb="FF1F2937"/>
        <rFont val="Noto Sans CJK SC"/>
        <family val="2"/>
      </rPr>
      <t xml:space="preserve">防風氏（博物志）；</t>
    </r>
    <r>
      <rPr>
        <sz val="9"/>
        <color rgb="FF1F2937"/>
        <rFont val="Microsoft YaHei"/>
        <family val="0"/>
        <charset val="1"/>
      </rPr>
      <t xml:space="preserve">SL-3619 </t>
    </r>
    <r>
      <rPr>
        <sz val="9"/>
        <color rgb="FF1F2937"/>
        <rFont val="Noto Sans CJK SC"/>
        <family val="2"/>
      </rPr>
      <t xml:space="preserve">鐵索寺古墓巨</t>
    </r>
  </si>
  <si>
    <t xml:space="preserve">异人异国（异形人种（巨人））</t>
  </si>
  <si>
    <t xml:space="preserve">「昔禹致群神於會稽之山，防風氏後至，禹殺而戮之，其骨節專車」</t>
  </si>
  <si>
    <t xml:space="preserve">【骨节专车·会稽治水迟到之巨人】大禹会诸侯于会稽，防风氏因在封禺山抗洪抢险而迟到被斩，一节骨头装满一整车。</t>
  </si>
  <si>
    <t xml:space="preserve">【平反与安置】后世查明其迟到实因阻挡太湖洪水；在现代水利工程中发现巨型古骨化石，须以会稽古礼致敬。</t>
  </si>
  <si>
    <t xml:space="preserve">长三角太湖流域特大防洪挡潮闸“防风氏巨柱” / 深基坑考古发现的超大型古生物骨骼</t>
  </si>
  <si>
    <t xml:space="preserve">湖州地铁深基坑挖出一截长达三米、坚逾精钢的石化巨骨（骨节专车），工程队立碑致敬后，该标段在台风季奇迹般扛住了百年一遇的管涌。</t>
  </si>
  <si>
    <t xml:space="preserve">鯤与鵬</t>
  </si>
  <si>
    <t xml:space="preserve">CORE-055</t>
  </si>
  <si>
    <t xml:space="preserve">「【北冥化鸟·水击三千里】其广数千里之巨鱼化为背若泰山之鹏，乘六月海运巨风扶摇直上九万里。」</t>
  </si>
  <si>
    <t xml:space="preserve">【北冥化鸟·水击三千里】其广数千里之巨鱼化为背若泰山之鹏，乘六月海运巨风扶摇直上九万里。</t>
  </si>
  <si>
    <t xml:space="preserve">【交互律】唯有在“六月海运（台风/平流层西风急流）”积厚之时方可启动鲲鹏跨洋转换。</t>
  </si>
  <si>
    <t xml:space="preserve">平流层超大型太阳能浮空母舰“大鹏号” × 万米深海潜航母船“北冥鲲号”天地联动系统</t>
  </si>
  <si>
    <t xml:space="preserve">台风过境南海当天，深海潜航器“鲲号”浮出海面释放出翼展百米的临近空间太阳能无人机“鹏号”，借着台风眼上升气流直刺三万米高空。</t>
  </si>
  <si>
    <t xml:space="preserve">有巢氏与燧人氏</t>
  </si>
  <si>
    <t xml:space="preserve">CORE-056</t>
  </si>
  <si>
    <t xml:space="preserve">「【构木为巢·钻木取火】上古两大文明始祖，教民脱离洞穴潮湿猛兽之害，开创人工建筑与可控能源先河。」</t>
  </si>
  <si>
    <t xml:space="preserve">【构木为巢·钻木取火】上古两大文明始祖，教民脱离洞穴潮湿猛兽之害，开创人工建筑与可控能源先河。</t>
  </si>
  <si>
    <t xml:space="preserve">【交互律】现代超高层模块化建筑封顶与可控核聚变点火仪式，均默认调用“有巢结构稳定印”与“燧人取火协议”。</t>
  </si>
  <si>
    <t xml:space="preserve">太空空间站模块化居住舱“有巢舱” / 人造太阳核聚变第一壁点火激光器“燧人火种”</t>
  </si>
  <si>
    <t xml:space="preserve">聚变实验堆第100次点火成功瞬间，主控室光谱仪记录到等离子体核心闪过一株《大荒西经》“遂木火鸟啄枝”的分形闪电。</t>
  </si>
  <si>
    <t xml:space="preserve">蒼頡</t>
  </si>
  <si>
    <r>
      <rPr>
        <sz val="9"/>
        <color rgb="FF1F2937"/>
        <rFont val="Microsoft YaHei"/>
        <family val="0"/>
        <charset val="1"/>
      </rPr>
      <t xml:space="preserve">XQ-0252</t>
    </r>
    <r>
      <rPr>
        <sz val="9"/>
        <color rgb="FF1F2937"/>
        <rFont val="Noto Sans CJK SC"/>
        <family val="2"/>
      </rPr>
      <t xml:space="preserve">《淮南子</t>
    </r>
    <r>
      <rPr>
        <sz val="9"/>
        <color rgb="FF1F2937"/>
        <rFont val="Microsoft YaHei"/>
        <family val="0"/>
        <charset val="1"/>
      </rPr>
      <t xml:space="preserve">·</t>
    </r>
    <r>
      <rPr>
        <sz val="9"/>
        <color rgb="FF1F2937"/>
        <rFont val="Noto Sans CJK SC"/>
        <family val="2"/>
      </rPr>
      <t xml:space="preserve">本經訓》</t>
    </r>
  </si>
  <si>
    <t xml:space="preserve">【汉魏六朝互见】HW-1442 蒼頡（論衡）；HW-1442 蒼頡（汉魏六朝他源汇总）；XQ-0259 史皇</t>
  </si>
  <si>
    <t xml:space="preserve">创世与始祖神（文化英雄）</t>
  </si>
  <si>
    <t xml:space="preserve">「昔者蒼頡作書，而天雨粟，鬼夜哭」</t>
  </si>
  <si>
    <t xml:space="preserve">【四目观奎星·作书而天雨粟鬼夜哭】文字与符号编码之始祖，其创造汉字之时彻底改变了宇宙信息熵，令鬼魅无所遁形。</t>
  </si>
  <si>
    <t xml:space="preserve">【交互律】当现代互联网遭遇底层编码崩溃或乱码病毒污染时，调用“苍颉四目奎星字符集”可强制重排一切失控代码。</t>
  </si>
  <si>
    <t xml:space="preserve">中文大语言模型底层Tokenizer（分词器）母本 / 根治乱码与加密勒索病毒的“雨粟”解码引擎</t>
  </si>
  <si>
    <t xml:space="preserve">全球爆发令所有UTF-8文字变成乱码的诡异病毒，唯独启用“苍颉四目古汉字矢量字体”的服务器毫发无损，机房外当晚下起奇异的金色小米雨（天雨粟）。</t>
  </si>
  <si>
    <t xml:space="preserve">干將与莫邪</t>
  </si>
  <si>
    <t xml:space="preserve">CORE-058</t>
  </si>
  <si>
    <t xml:space="preserve">「【挚情铸剑·延平津化双龙】夫妻心血所铸雌雄宝剑，分开则悲鸣思念，合拢于延平津则化为双白龙腾渊而去。」</t>
  </si>
  <si>
    <t xml:space="preserve">【挚情铸剑·延平津化双龙】夫妻心血所铸雌雄宝剑，分开则悲鸣思念，合拢于延平津则化为双白龙腾渊而去。</t>
  </si>
  <si>
    <t xml:space="preserve">【交互律】双剑外设必须由默契极高的双人搭档同时持有，一旦一人违背初心则另一柄自动锁死化水。</t>
  </si>
  <si>
    <t xml:space="preserve">双子星量子纠缠加密通信密钥对“干将—莫邪” / 特勤双人协同电磁切割刃</t>
  </si>
  <si>
    <t xml:space="preserve">两颗相距三千公里的量子通信卫星分别镶嵌了延平津古剑陨铁微片，即便在强电磁干扰下仍通过“雌雄悲鸣共振”保持零延迟绝对安全通信。</t>
  </si>
  <si>
    <t xml:space="preserve">泰山府君</t>
  </si>
  <si>
    <r>
      <rPr>
        <sz val="9"/>
        <color rgb="FF1F2937"/>
        <rFont val="Microsoft YaHei"/>
        <family val="0"/>
        <charset val="1"/>
      </rPr>
      <t xml:space="preserve">HW-0580</t>
    </r>
    <r>
      <rPr>
        <sz val="9"/>
        <color rgb="FF1F2937"/>
        <rFont val="Noto Sans CJK SC"/>
        <family val="2"/>
      </rPr>
      <t xml:space="preserve">《搜神記（搜神記</t>
    </r>
    <r>
      <rPr>
        <sz val="9"/>
        <color rgb="FF1F2937"/>
        <rFont val="Microsoft YaHei"/>
        <family val="0"/>
        <charset val="1"/>
      </rPr>
      <t xml:space="preserve">_</t>
    </r>
    <r>
      <rPr>
        <sz val="9"/>
        <color rgb="FF1F2937"/>
        <rFont val="Noto Sans CJK SC"/>
        <family val="2"/>
      </rPr>
      <t xml:space="preserve">第</t>
    </r>
    <r>
      <rPr>
        <sz val="9"/>
        <color rgb="FF1F2937"/>
        <rFont val="Microsoft YaHei"/>
        <family val="0"/>
        <charset val="1"/>
      </rPr>
      <t xml:space="preserve">04</t>
    </r>
    <r>
      <rPr>
        <sz val="9"/>
        <color rgb="FF1F2937"/>
        <rFont val="Noto Sans CJK SC"/>
        <family val="2"/>
      </rPr>
      <t xml:space="preserve">卷）》</t>
    </r>
  </si>
  <si>
    <r>
      <rPr>
        <sz val="9"/>
        <color rgb="FF1F2937"/>
        <rFont val="Microsoft YaHei"/>
        <family val="0"/>
        <charset val="1"/>
      </rPr>
      <t xml:space="preserve">HW-1377 </t>
    </r>
    <r>
      <rPr>
        <sz val="9"/>
        <color rgb="FF1F2937"/>
        <rFont val="Noto Sans CJK SC"/>
        <family val="2"/>
      </rPr>
      <t xml:space="preserve">泰山神（天帝孫</t>
    </r>
    <r>
      <rPr>
        <sz val="9"/>
        <color rgb="FF1F2937"/>
        <rFont val="Microsoft YaHei"/>
        <family val="0"/>
        <charset val="1"/>
      </rPr>
      <t xml:space="preserve">·</t>
    </r>
    <r>
      <rPr>
        <sz val="9"/>
        <color rgb="FF1F2937"/>
        <rFont val="Noto Sans CJK SC"/>
        <family val="2"/>
      </rPr>
      <t xml:space="preserve">召人魂）；</t>
    </r>
    <r>
      <rPr>
        <sz val="9"/>
        <color rgb="FF1F2937"/>
        <rFont val="Microsoft YaHei"/>
        <family val="0"/>
        <charset val="1"/>
      </rPr>
      <t xml:space="preserve">TW-0890 </t>
    </r>
    <r>
      <rPr>
        <sz val="9"/>
        <color rgb="FF1F2937"/>
        <rFont val="Noto Sans CJK SC"/>
        <family val="2"/>
      </rPr>
      <t xml:space="preserve">泰山府君（李播召見）（廣異記）；</t>
    </r>
    <r>
      <rPr>
        <sz val="9"/>
        <color rgb="FF1F2937"/>
        <rFont val="Microsoft YaHei"/>
        <family val="0"/>
        <charset val="1"/>
      </rPr>
      <t xml:space="preserve">SL-0872 </t>
    </r>
    <r>
      <rPr>
        <sz val="9"/>
        <color rgb="FF1F2937"/>
        <rFont val="Noto Sans CJK SC"/>
        <family val="2"/>
      </rPr>
      <t xml:space="preserve">太山</t>
    </r>
  </si>
  <si>
    <t xml:space="preserve">冥界鬼神（冥府主神）</t>
  </si>
  <si>
    <t xml:space="preserve">「……「泰山府君召。」班驚楞，逡巡未答。復有一騶出，呼之。遂隨行數十步，騶請班暫瞑，少頃，便見宮室，威儀甚嚴。班乃入閣拜謁，主為設食，語班曰：「欲見君，」</t>
  </si>
  <si>
    <t xml:space="preserve">【魂归泰山·生人代任与文书通婚】中国本土最古老的冥界最高行政首长，居泰山宫室，与河伯联姻，可通过文牒聘请阳间正直官员兼任。</t>
  </si>
  <si>
    <t xml:space="preserve">【交互律】阳间兼任者（如宋代通判之舅雷度 `SL-2803`）白天处理市政公务，夜间入梦批阅泰山生死勘合卷宗。</t>
  </si>
  <si>
    <t xml:space="preserve">城市人口全生命周期户籍与数字遗产总数据库“泰山府” / 跨阴阳公证处主任</t>
  </si>
  <si>
    <t xml:space="preserve">某市公证处那位铁面无私的老主任每天午休都要锁门睡足一小时，没人知道他午睡时其实在批阅整座城市的《泰山府君数字遗产交接牒》。</t>
  </si>
  <si>
    <t xml:space="preserve">蔣子文</t>
  </si>
  <si>
    <r>
      <rPr>
        <sz val="9"/>
        <color rgb="FF1F2937"/>
        <rFont val="Microsoft YaHei"/>
        <family val="0"/>
        <charset val="1"/>
      </rPr>
      <t xml:space="preserve">HW-0595</t>
    </r>
    <r>
      <rPr>
        <sz val="9"/>
        <color rgb="FF1F2937"/>
        <rFont val="Noto Sans CJK SC"/>
        <family val="2"/>
      </rPr>
      <t xml:space="preserve">《搜神記（搜神記</t>
    </r>
    <r>
      <rPr>
        <sz val="9"/>
        <color rgb="FF1F2937"/>
        <rFont val="Microsoft YaHei"/>
        <family val="0"/>
        <charset val="1"/>
      </rPr>
      <t xml:space="preserve">_</t>
    </r>
    <r>
      <rPr>
        <sz val="9"/>
        <color rgb="FF1F2937"/>
        <rFont val="Noto Sans CJK SC"/>
        <family val="2"/>
      </rPr>
      <t xml:space="preserve">第</t>
    </r>
    <r>
      <rPr>
        <sz val="9"/>
        <color rgb="FF1F2937"/>
        <rFont val="Microsoft YaHei"/>
        <family val="0"/>
        <charset val="1"/>
      </rPr>
      <t xml:space="preserve">05</t>
    </r>
    <r>
      <rPr>
        <sz val="9"/>
        <color rgb="FF1F2937"/>
        <rFont val="Noto Sans CJK SC"/>
        <family val="2"/>
      </rPr>
      <t xml:space="preserve">卷）》</t>
    </r>
  </si>
  <si>
    <r>
      <rPr>
        <sz val="9"/>
        <color rgb="FF1F2937"/>
        <rFont val="Microsoft YaHei"/>
        <family val="0"/>
        <charset val="1"/>
      </rPr>
      <t xml:space="preserve">TW-0738 </t>
    </r>
    <r>
      <rPr>
        <sz val="9"/>
        <color rgb="FF1F2937"/>
        <rFont val="Noto Sans CJK SC"/>
        <family val="2"/>
      </rPr>
      <t xml:space="preserve">蔣子文（獨異志）；廣記</t>
    </r>
    <r>
      <rPr>
        <sz val="9"/>
        <color rgb="FF1F2937"/>
        <rFont val="Microsoft YaHei"/>
        <family val="0"/>
        <charset val="1"/>
      </rPr>
      <t xml:space="preserve">#3361 </t>
    </r>
    <r>
      <rPr>
        <sz val="9"/>
        <color rgb="FF1F2937"/>
        <rFont val="Noto Sans CJK SC"/>
        <family val="2"/>
      </rPr>
      <t xml:space="preserve">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473</t>
    </r>
    <r>
      <rPr>
        <sz val="9"/>
        <color rgb="FF1F2937"/>
        <rFont val="Noto Sans CJK SC"/>
        <family val="2"/>
      </rPr>
      <t xml:space="preserve">〈蔣蟲〉引搜神記（蔣子文；底本無</t>
    </r>
    <r>
      <rPr>
        <sz val="9"/>
        <color rgb="FF1F2937"/>
        <rFont val="Microsoft YaHei"/>
        <family val="0"/>
        <charset val="1"/>
      </rPr>
      <t xml:space="preserve">/</t>
    </r>
    <r>
      <rPr>
        <sz val="9"/>
        <color rgb="FF1F2937"/>
        <rFont val="Noto Sans CJK SC"/>
        <family val="2"/>
      </rPr>
      <t xml:space="preserve">部分，稽</t>
    </r>
  </si>
  <si>
    <t xml:space="preserve">人鬼厉鬼（人鬼成神）</t>
  </si>
  <si>
    <t xml:space="preserve">「蔣子文者，廣陵人也。嗜酒，好色，挑撻無度。常自謂：「己骨清，死當為神。」漢末，為秣陵尉，逐賊至鍾山下，賊擊傷額，因解綬縛之，有頃遂死。及吳先主之初，其」</t>
  </si>
  <si>
    <t xml:space="preserve">【白马白羽·殉职悍吏化土地正神】汉末秣陵尉逐贼战死钟山，乘白马执白羽显形，受封钟山中都侯，专护一方治安与防虫防疫。</t>
  </si>
  <si>
    <t xml:space="preserve">【交互律】凡因公殉职的基层刑警与治安干员，其警号可申请挂载“钟山白羽卫”编制，继续在夜间街区监控网中显圣震慑宵小。</t>
  </si>
  <si>
    <t xml:space="preserve">南京紫金山智慧警务天网“白羽巡逻算法” / 因公殉职警员荣誉数字哨兵</t>
  </si>
  <si>
    <t xml:space="preserve">两名惯偷半夜潜入钟山脚下别墅区，刚翻过围墙就看到监控补光灯下站着一位骑白马、穿老式警服的高大身影，吓得当场投案自首。</t>
  </si>
  <si>
    <t xml:space="preserve">蠶馬</t>
  </si>
  <si>
    <r>
      <rPr>
        <sz val="9"/>
        <color rgb="FF1F2937"/>
        <rFont val="Microsoft YaHei"/>
        <family val="0"/>
        <charset val="1"/>
      </rPr>
      <t xml:space="preserve">HW-0666</t>
    </r>
    <r>
      <rPr>
        <sz val="9"/>
        <color rgb="FF1F2937"/>
        <rFont val="Noto Sans CJK SC"/>
        <family val="2"/>
      </rPr>
      <t xml:space="preserve">《搜神記（搜神記</t>
    </r>
    <r>
      <rPr>
        <sz val="9"/>
        <color rgb="FF1F2937"/>
        <rFont val="Microsoft YaHei"/>
        <family val="0"/>
        <charset val="1"/>
      </rPr>
      <t xml:space="preserve">_</t>
    </r>
    <r>
      <rPr>
        <sz val="9"/>
        <color rgb="FF1F2937"/>
        <rFont val="Noto Sans CJK SC"/>
        <family val="2"/>
      </rPr>
      <t xml:space="preserve">第</t>
    </r>
    <r>
      <rPr>
        <sz val="9"/>
        <color rgb="FF1F2937"/>
        <rFont val="Microsoft YaHei"/>
        <family val="0"/>
        <charset val="1"/>
      </rPr>
      <t xml:space="preserve">14</t>
    </r>
    <r>
      <rPr>
        <sz val="9"/>
        <color rgb="FF1F2937"/>
        <rFont val="Noto Sans CJK SC"/>
        <family val="2"/>
      </rPr>
      <t xml:space="preserve">卷）》</t>
    </r>
  </si>
  <si>
    <r>
      <rPr>
        <sz val="9"/>
        <color rgb="FF1F2937"/>
        <rFont val="Microsoft YaHei"/>
        <family val="0"/>
        <charset val="1"/>
      </rPr>
      <t xml:space="preserve">SL-3512 </t>
    </r>
    <r>
      <rPr>
        <sz val="9"/>
        <color rgb="FF1F2937"/>
        <rFont val="Noto Sans CJK SC"/>
        <family val="2"/>
      </rPr>
      <t xml:space="preserve">譚家神蠶（化馬）（夷堅支丁卷七）</t>
    </r>
  </si>
  <si>
    <t xml:space="preserve">地祇山川水神（蚕神）</t>
  </si>
  <si>
    <t xml:space="preserve">「……因名其樹曰桑。桑者，喪也。由斯百姓競種之，今世所養是也。言桑蠶者，是古蠶之餘類也。案：《天官》：「辰，為馬星。」《蠶書》曰：「月當大火，則浴其種。」</t>
  </si>
  <si>
    <t xml:space="preserve">【马皮裹女·化蚕吐丝】《搜神记》太古有人远征，女思父戏言嫁马，马迎父归被杀晒皮，皮忽卷女飞去栖桑树化为蚕神（马头娘）。</t>
  </si>
  <si>
    <t xml:space="preserve">【交互律】凡违背承诺（戏言悔婚）必遭马皮反卷；但以诚敬奉祀则吐出高强度防弹蚕丝。</t>
  </si>
  <si>
    <t xml:space="preserve">超高分子量聚乙烯与蜘蛛/家蚕基因重组防弹纤维实验室“马头娘工坊”</t>
  </si>
  <si>
    <t xml:space="preserve">江南丝绸研究所研发出能挡住步枪子弹的“天蚕纳米云锦”，车间主任每天开工前都会对着一尊唐代骑马仕女陶俑敬上一杯桑叶茶。</t>
  </si>
  <si>
    <t xml:space="preserve">姑獲鳥</t>
  </si>
  <si>
    <r>
      <rPr>
        <sz val="9"/>
        <color rgb="FF1F2937"/>
        <rFont val="Microsoft YaHei"/>
        <family val="0"/>
        <charset val="1"/>
      </rPr>
      <t xml:space="preserve">HW-0813</t>
    </r>
    <r>
      <rPr>
        <sz val="9"/>
        <color rgb="FF1F2937"/>
        <rFont val="Noto Sans CJK SC"/>
        <family val="2"/>
      </rPr>
      <t xml:space="preserve">《玄中記（玄中記）》</t>
    </r>
  </si>
  <si>
    <r>
      <rPr>
        <sz val="9"/>
        <color rgb="FF1F2937"/>
        <rFont val="Microsoft YaHei"/>
        <family val="0"/>
        <charset val="1"/>
      </rPr>
      <t xml:space="preserve">HW-0668 </t>
    </r>
    <r>
      <rPr>
        <sz val="9"/>
        <color rgb="FF1F2937"/>
        <rFont val="Noto Sans CJK SC"/>
        <family val="2"/>
      </rPr>
      <t xml:space="preserve">毛衣女（天鵝處女）；</t>
    </r>
    <r>
      <rPr>
        <sz val="9"/>
        <color rgb="FF1F2937"/>
        <rFont val="Microsoft YaHei"/>
        <family val="0"/>
        <charset val="1"/>
      </rPr>
      <t xml:space="preserve">BZ-0030 </t>
    </r>
    <r>
      <rPr>
        <sz val="9"/>
        <color rgb="FF1F2937"/>
        <rFont val="Noto Sans CJK SC"/>
        <family val="2"/>
      </rPr>
      <t xml:space="preserve">白澤圖佚文</t>
    </r>
    <r>
      <rPr>
        <sz val="9"/>
        <color rgb="FF1F2937"/>
        <rFont val="Microsoft YaHei"/>
        <family val="0"/>
        <charset val="1"/>
      </rPr>
      <t xml:space="preserve">·</t>
    </r>
    <r>
      <rPr>
        <sz val="9"/>
        <color rgb="FF1F2937"/>
        <rFont val="Noto Sans CJK SC"/>
        <family val="2"/>
      </rPr>
      <t xml:space="preserve">蒼鸆（九首鳥</t>
    </r>
    <r>
      <rPr>
        <sz val="9"/>
        <color rgb="FF1F2937"/>
        <rFont val="Microsoft YaHei"/>
        <family val="0"/>
        <charset val="1"/>
      </rPr>
      <t xml:space="preserve">·</t>
    </r>
    <r>
      <rPr>
        <sz val="9"/>
        <color rgb="FF1F2937"/>
        <rFont val="Noto Sans CJK SC"/>
        <family val="2"/>
      </rPr>
      <t xml:space="preserve">鬼車）；</t>
    </r>
    <r>
      <rPr>
        <sz val="9"/>
        <color rgb="FF1F2937"/>
        <rFont val="Microsoft YaHei"/>
        <family val="0"/>
        <charset val="1"/>
      </rPr>
      <t xml:space="preserve">TW-0557 </t>
    </r>
    <r>
      <rPr>
        <sz val="9"/>
        <color rgb="FF1F2937"/>
        <rFont val="Noto Sans CJK SC"/>
        <family val="2"/>
      </rPr>
      <t xml:space="preserve">夜行遊女</t>
    </r>
  </si>
  <si>
    <t xml:space="preserve">妖精（鸟妖）</t>
  </si>
  <si>
    <t xml:space="preserve">「……禦覽六百八十又九百五十八珠林六十七書鈔一百三十事類賦註二十四姑獲鳥夜飛晝藏，蓋鬼神類。衣毛為飛鳥，脫毛為女人。二句北戶錄引在豫章男子句上一名天帝少」</t>
  </si>
  <si>
    <t xml:space="preserve">【衣毛为鸟·脱毛为女·夜行滴血取人子】产妇死后执念所化（又名夜行游女、鬼车），喜夜飞以血点小儿晾晒之衣致惊痫。</t>
  </si>
  <si>
    <t xml:space="preserve">【克制与疏导】严禁夜间在露天阳台晾晒婴儿衣物；但若引导其去妇产医院担任“弃婴暖箱看护灵”，其母性执念即可化害为善。</t>
  </si>
  <si>
    <t xml:space="preserve">产后抑郁症重症危机干预热线“羽衣护佑组” / 新生儿夜间防惊跳智能监护仪</t>
  </si>
  <si>
    <t xml:space="preserve">月子中心夜里总听到窗外有怪鸟啼哭，白泽署没有驱赶那位因难产滞留人间的明代女魂，而是聘请她担任“婴儿哭声翻译员”，治愈了数十位产后抑郁母亲。</t>
  </si>
  <si>
    <t xml:space="preserve">彭侯</t>
  </si>
  <si>
    <r>
      <rPr>
        <sz val="9"/>
        <color rgb="FF1F2937"/>
        <rFont val="Microsoft YaHei"/>
        <family val="0"/>
        <charset val="1"/>
      </rPr>
      <t xml:space="preserve">HW-0714</t>
    </r>
    <r>
      <rPr>
        <sz val="9"/>
        <color rgb="FF1F2937"/>
        <rFont val="Noto Sans CJK SC"/>
        <family val="2"/>
      </rPr>
      <t xml:space="preserve">《搜神記（搜神記</t>
    </r>
    <r>
      <rPr>
        <sz val="9"/>
        <color rgb="FF1F2937"/>
        <rFont val="Microsoft YaHei"/>
        <family val="0"/>
        <charset val="1"/>
      </rPr>
      <t xml:space="preserve">_</t>
    </r>
    <r>
      <rPr>
        <sz val="9"/>
        <color rgb="FF1F2937"/>
        <rFont val="Noto Sans CJK SC"/>
        <family val="2"/>
      </rPr>
      <t xml:space="preserve">第</t>
    </r>
    <r>
      <rPr>
        <sz val="9"/>
        <color rgb="FF1F2937"/>
        <rFont val="Microsoft YaHei"/>
        <family val="0"/>
        <charset val="1"/>
      </rPr>
      <t xml:space="preserve">18</t>
    </r>
    <r>
      <rPr>
        <sz val="9"/>
        <color rgb="FF1F2937"/>
        <rFont val="Noto Sans CJK SC"/>
        <family val="2"/>
      </rPr>
      <t xml:space="preserve">卷）》</t>
    </r>
  </si>
  <si>
    <r>
      <rPr>
        <sz val="9"/>
        <color rgb="FF1F2937"/>
        <rFont val="Microsoft YaHei"/>
        <family val="0"/>
        <charset val="1"/>
      </rPr>
      <t xml:space="preserve">BZ-0002 </t>
    </r>
    <r>
      <rPr>
        <sz val="9"/>
        <color rgb="FF1F2937"/>
        <rFont val="Noto Sans CJK SC"/>
        <family val="2"/>
      </rPr>
      <t xml:space="preserve">白澤圖佚文</t>
    </r>
    <r>
      <rPr>
        <sz val="9"/>
        <color rgb="FF1F2937"/>
        <rFont val="Microsoft YaHei"/>
        <family val="0"/>
        <charset val="1"/>
      </rPr>
      <t xml:space="preserve">·</t>
    </r>
    <r>
      <rPr>
        <sz val="9"/>
        <color rgb="FF1F2937"/>
        <rFont val="Noto Sans CJK SC"/>
        <family val="2"/>
      </rPr>
      <t xml:space="preserve">彭侯（木之精）；</t>
    </r>
    <r>
      <rPr>
        <sz val="9"/>
        <color rgb="FF1F2937"/>
        <rFont val="Microsoft YaHei"/>
        <family val="0"/>
        <charset val="1"/>
      </rPr>
      <t xml:space="preserve">SL-2139 </t>
    </r>
    <r>
      <rPr>
        <sz val="9"/>
        <color rgb="FF1F2937"/>
        <rFont val="Noto Sans CJK SC"/>
        <family val="2"/>
      </rPr>
      <t xml:space="preserve">朽木精（人面狗身</t>
    </r>
    <r>
      <rPr>
        <sz val="9"/>
        <color rgb="FF1F2937"/>
        <rFont val="Microsoft YaHei"/>
        <family val="0"/>
        <charset val="1"/>
      </rPr>
      <t xml:space="preserve">·</t>
    </r>
    <r>
      <rPr>
        <sz val="9"/>
        <color rgb="FF1F2937"/>
        <rFont val="Noto Sans CJK SC"/>
        <family val="2"/>
      </rPr>
      <t xml:space="preserve">蔡州空宅）（廣古今五行記</t>
    </r>
    <r>
      <rPr>
        <sz val="9"/>
        <color rgb="FF1F2937"/>
        <rFont val="Microsoft YaHei"/>
        <family val="0"/>
        <charset val="1"/>
      </rPr>
      <t xml:space="preserve">·</t>
    </r>
    <r>
      <rPr>
        <sz val="9"/>
        <color rgb="FF1F2937"/>
        <rFont val="Noto Sans CJK SC"/>
        <family val="2"/>
      </rPr>
      <t xml:space="preserve">广记）</t>
    </r>
  </si>
  <si>
    <t xml:space="preserve">妖精（木精）</t>
  </si>
  <si>
    <t xml:space="preserve">「……「此名『彭侯』。」乃烹食之。其味如狗。白澤圖曰：「木之精名『彭侯』，狀如黑狗，無尾，可烹食之。」」</t>
  </si>
  <si>
    <t xml:space="preserve">【千载木精·状如黑狗无尾】《搜神记》与《白泽图》所载千年古樟/古木之精，砍树时流血，化为无尾黑犬。</t>
  </si>
  <si>
    <t xml:space="preserve">【交互律】古籍载“烹食之味如狗”，现代严禁烹食，只需呼其真名“彭侯”并挂上古树保护铭牌，它就会化为看护古建筑防白蚁的忠犬。</t>
  </si>
  <si>
    <t xml:space="preserve">城市古树名木空洞应力监测传感器 / 纯木构古建筑群防雷防虫守夜黑犬</t>
  </si>
  <si>
    <t xml:space="preserve">施工队准备违规砍伐一株千年古樟时，树干竟渗出红液并窜出一只无尾黑狗咬断了电锯电源线，白泽署赶到后直接给古树和黑狗办了双编制。</t>
  </si>
  <si>
    <t xml:space="preserve">崔珏</t>
  </si>
  <si>
    <r>
      <rPr>
        <sz val="9"/>
        <color rgb="FF1F2937"/>
        <rFont val="Microsoft YaHei"/>
        <family val="0"/>
        <charset val="1"/>
      </rPr>
      <t xml:space="preserve">MG-1749</t>
    </r>
    <r>
      <rPr>
        <sz val="9"/>
        <color rgb="FF1F2937"/>
        <rFont val="Noto Sans CJK SC"/>
        <family val="2"/>
      </rPr>
      <t xml:space="preserve">《西遊記（明</t>
    </r>
    <r>
      <rPr>
        <sz val="9"/>
        <color rgb="FF1F2937"/>
        <rFont val="Microsoft YaHei"/>
        <family val="0"/>
        <charset val="1"/>
      </rPr>
      <t xml:space="preserve">·</t>
    </r>
    <r>
      <rPr>
        <sz val="9"/>
        <color rgb="FF1F2937"/>
        <rFont val="Noto Sans CJK SC"/>
        <family val="2"/>
      </rPr>
      <t xml:space="preserve">吳承恩撰》</t>
    </r>
  </si>
  <si>
    <r>
      <rPr>
        <sz val="9"/>
        <color rgb="FF1F2937"/>
        <rFont val="Microsoft YaHei"/>
        <family val="0"/>
        <charset val="1"/>
      </rPr>
      <t xml:space="preserve">MG-1747</t>
    </r>
    <r>
      <rPr>
        <sz val="9"/>
        <color rgb="FF1F2937"/>
        <rFont val="Noto Sans CJK SC"/>
        <family val="2"/>
      </rPr>
      <t xml:space="preserve">〔</t>
    </r>
    <r>
      <rPr>
        <sz val="9"/>
        <color rgb="FF1F2937"/>
        <rFont val="Microsoft YaHei"/>
        <family val="0"/>
        <charset val="1"/>
      </rPr>
      <t xml:space="preserve">11·</t>
    </r>
    <r>
      <rPr>
        <sz val="9"/>
        <color rgb="FF1F2937"/>
        <rFont val="Noto Sans CJK SC"/>
        <family val="2"/>
      </rPr>
      <t xml:space="preserve">魏徵（人曹官，夢斬涇河龍）〕；</t>
    </r>
    <r>
      <rPr>
        <sz val="9"/>
        <color rgb="FF1F2937"/>
        <rFont val="Microsoft YaHei"/>
        <family val="0"/>
        <charset val="1"/>
      </rPr>
      <t xml:space="preserve">MG-1688</t>
    </r>
    <r>
      <rPr>
        <sz val="9"/>
        <color rgb="FF1F2937"/>
        <rFont val="Noto Sans CJK SC"/>
        <family val="2"/>
      </rPr>
      <t xml:space="preserve">〔</t>
    </r>
    <r>
      <rPr>
        <sz val="9"/>
        <color rgb="FF1F2937"/>
        <rFont val="Microsoft YaHei"/>
        <family val="0"/>
        <charset val="1"/>
      </rPr>
      <t xml:space="preserve">11·</t>
    </r>
    <r>
      <rPr>
        <sz val="9"/>
        <color rgb="FF1F2937"/>
        <rFont val="Noto Sans CJK SC"/>
        <family val="2"/>
      </rPr>
      <t xml:space="preserve">十代冥王（十殿閻王）〕；</t>
    </r>
    <r>
      <rPr>
        <sz val="9"/>
        <color rgb="FF1F2937"/>
        <rFont val="Microsoft YaHei"/>
        <family val="0"/>
        <charset val="1"/>
      </rPr>
      <t xml:space="preserve">MG-175</t>
    </r>
  </si>
  <si>
    <t xml:space="preserve">冥界鬼神（鬼神·判官）</t>
  </si>
  <si>
    <t xml:space="preserve">「頭頂烏紗，腰圍犀角……懷揣一本生死簿，注定存亡」</t>
  </si>
  <si>
    <t xml:space="preserve">【昼理阳间·夜断阴府】唐代磁州令崔子玉，生前清正断虎，死后任冥司第一判官，手执生死簿与朱砂笔。</t>
  </si>
  <si>
    <t xml:space="preserve">【交互律】凡涉及阴阳两界的历史悬案、无名遗骸身份确认与生死簿勘误，均须经“崔判官朱笔系统”复核。</t>
  </si>
  <si>
    <t xml:space="preserve">法医DNA冷案比对中心与器官捐献生死伦理核准系统“崔公朱笔”</t>
  </si>
  <si>
    <t xml:space="preserve">法医实验室在比对一具三十年前的无名见义勇为者遗骸时，系统打印机自动吐出一页带朱砂批注的唐楷档案，精准指出了英雄的家乡与后人下落。</t>
  </si>
  <si>
    <t xml:space="preserve">鍾馗</t>
  </si>
  <si>
    <r>
      <rPr>
        <sz val="9"/>
        <color rgb="FF1F2937"/>
        <rFont val="Microsoft YaHei"/>
        <family val="0"/>
        <charset val="1"/>
      </rPr>
      <t xml:space="preserve">SL-6357</t>
    </r>
    <r>
      <rPr>
        <sz val="9"/>
        <color rgb="FF1F2937"/>
        <rFont val="Noto Sans CJK SC"/>
        <family val="2"/>
      </rPr>
      <t xml:space="preserve">《野人閒話（經太平廣記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214</t>
    </r>
    <r>
      <rPr>
        <sz val="9"/>
        <color rgb="FF1F2937"/>
        <rFont val="Noto Sans CJK SC"/>
        <family val="2"/>
      </rPr>
      <t xml:space="preserve">〈黃筌〉）》</t>
    </r>
  </si>
  <si>
    <r>
      <rPr>
        <sz val="9"/>
        <color rgb="FF1F2937"/>
        <rFont val="Microsoft YaHei"/>
        <family val="0"/>
        <charset val="1"/>
      </rPr>
      <t xml:space="preserve">SL-2557 </t>
    </r>
    <r>
      <rPr>
        <sz val="9"/>
        <color rgb="FF1F2937"/>
        <rFont val="Noto Sans CJK SC"/>
        <family val="2"/>
      </rPr>
      <t xml:space="preserve">支九・水三（嘉興餓鬼）（雲笈整合輪：夷堅乙志卷八有「鍾馗陣」（鬼所畏））</t>
    </r>
  </si>
  <si>
    <t xml:space="preserve">人鬼厉鬼（捉鬼神（畫像所見））</t>
  </si>
  <si>
    <t xml:space="preserve">「昔吳道子所畫一鍾馗，衣藍衫，鞹一足，眇一目，腰一笏，巾裹而蓬發垂鬢。……左手捉一鬼，以右手第二指剜鬼眼睛。‖其大者戴帽，衣藍裳，袒一臂，鞹雙足，乃捉其」</t>
  </si>
  <si>
    <t xml:space="preserve">【终南进士·啖鬼辟邪】唐玄宗梦蓝袍破帽巨人捉小鬼“虚耗”抉目啖之，乃终南山不第进士钟馗，立誓除尽天下妖孽。</t>
  </si>
  <si>
    <t xml:space="preserve">【交互律】每年端午午时与岁末除夕自动全功率巡网；专克一切偷偷窃取他人算力、电量与家财的“虚耗”木马。</t>
  </si>
  <si>
    <t xml:space="preserve">国家级终端杀毒与反挖矿木马引擎“终南钟进士” / 智能门锁端午辟邪动态壁纸</t>
  </si>
  <si>
    <t xml:space="preserve">某公司服务器被隐蔽的“虚耗”挖矿木马吃光了90%算力，网管在端午节正午挂载了“蓝袍钟馗内核驱动”，三秒内后台日志传出一阵咀嚼声，木马被连根吞噬。</t>
  </si>
  <si>
    <t xml:space="preserve">張果与藍采和</t>
  </si>
  <si>
    <t xml:space="preserve">CORE-066</t>
  </si>
  <si>
    <t xml:space="preserve">「【倒骑白驴折叠入纸·踏歌散钱】张果老所骑白驴日行万里，不用时可像纸一样折叠放进巾箱；蓝采和夏服絮衫冬」</t>
  </si>
  <si>
    <t xml:space="preserve">【倒骑白驴折叠入纸·踏歌散钱】张果老所骑白驴日行万里，不用时可像纸一样折叠放进巾箱；蓝采和夏服絮衫冬卧冰雪，于闹市踏歌。</t>
  </si>
  <si>
    <t xml:space="preserve">【交互律】张果“纸驴折叠术”是现代微型折叠代步车的鼻祖协议；蓝采和踏歌能瞬间消解都市人群的金钱焦虑。</t>
  </si>
  <si>
    <t xml:space="preserve">超轻碳纤维可放进背包的“巾箱折叠电驴” / 街头治愈系快闪音乐人</t>
  </si>
  <si>
    <t xml:space="preserve">晚高峰堵死的高架桥旁，一位白胡子老头从公文包里掏出一张白纸吹了口气，白纸瞬间展开成一辆小电驴，老头倒坐着一路唱着唐诗穿出车流。</t>
  </si>
  <si>
    <t xml:space="preserve">月老</t>
  </si>
  <si>
    <t xml:space="preserve">CORE-067</t>
  </si>
  <si>
    <t xml:space="preserve">「【月下检书·赤绳系足】唐韦固于宋城旅店遇老人倚布囊坐向月检幽冥婚牍，以囊中赤绳系男女之足，虽仇敌异域」</t>
  </si>
  <si>
    <t xml:space="preserve">【月下检书·赤绳系足】唐韦固于宋城旅店遇老人倚布囊坐向月检幽冥婚牍，以囊中赤绳系男女之足，虽仇敌异域必成婚配。</t>
  </si>
  <si>
    <t xml:space="preserve">【交互律】严禁婚恋App用算法大数据强行篡改赤绳底层哈希值；强扭的付费会员匹配必遭赤绳缠足摔跤警告。</t>
  </si>
  <si>
    <t xml:space="preserve">反杀猪盘与真实灵魂伴侣匹配开源协议“宋城赤绳”</t>
  </si>
  <si>
    <t xml:space="preserve">某头部婚恋平台试图把两位命中注定的情侣隐藏进高价付费墙后，当晚机房所有网线竟自己打成了死结，把两人的微信号直接推到了对方置顶页。</t>
  </si>
  <si>
    <t xml:space="preserve">柳毅</t>
  </si>
  <si>
    <r>
      <rPr>
        <sz val="9"/>
        <color rgb="FF1F2937"/>
        <rFont val="Microsoft YaHei"/>
        <family val="0"/>
        <charset val="1"/>
      </rPr>
      <t xml:space="preserve">TW-0031</t>
    </r>
    <r>
      <rPr>
        <sz val="9"/>
        <color rgb="FF1F2937"/>
        <rFont val="Noto Sans CJK SC"/>
        <family val="2"/>
      </rPr>
      <t xml:space="preserve">《傳奇（柳毅傳）》</t>
    </r>
  </si>
  <si>
    <r>
      <rPr>
        <sz val="9"/>
        <color rgb="FF1F2937"/>
        <rFont val="Microsoft YaHei"/>
        <family val="0"/>
        <charset val="1"/>
      </rPr>
      <t xml:space="preserve">TW-0026 </t>
    </r>
    <r>
      <rPr>
        <sz val="9"/>
        <color rgb="FF1F2937"/>
        <rFont val="Noto Sans CJK SC"/>
        <family val="2"/>
      </rPr>
      <t xml:space="preserve">洞庭龍君（洞庭君）；</t>
    </r>
    <r>
      <rPr>
        <sz val="9"/>
        <color rgb="FF1F2937"/>
        <rFont val="Microsoft YaHei"/>
        <family val="0"/>
        <charset val="1"/>
      </rPr>
      <t xml:space="preserve">SL-1706 </t>
    </r>
    <r>
      <rPr>
        <sz val="9"/>
        <color rgb="FF1F2937"/>
        <rFont val="Noto Sans CJK SC"/>
        <family val="2"/>
      </rPr>
      <t xml:space="preserve">濛陽湫龍</t>
    </r>
    <r>
      <rPr>
        <sz val="9"/>
        <color rgb="FF1F2937"/>
        <rFont val="Microsoft YaHei"/>
        <family val="0"/>
        <charset val="1"/>
      </rPr>
      <t xml:space="preserve">/</t>
    </r>
    <r>
      <rPr>
        <sz val="9"/>
        <color rgb="FF1F2937"/>
        <rFont val="Noto Sans CJK SC"/>
        <family val="2"/>
      </rPr>
      <t xml:space="preserve">慈母池龍（為婚）（北夢瑣言</t>
    </r>
    <r>
      <rPr>
        <sz val="9"/>
        <color rgb="FF1F2937"/>
        <rFont val="Microsoft YaHei"/>
        <family val="0"/>
        <charset val="1"/>
      </rPr>
      <t xml:space="preserve">·</t>
    </r>
    <r>
      <rPr>
        <sz val="9"/>
        <color rgb="FF1F2937"/>
        <rFont val="Noto Sans CJK SC"/>
        <family val="2"/>
      </rPr>
      <t xml:space="preserve">广记）</t>
    </r>
  </si>
  <si>
    <t xml:space="preserve">仙真（人入仙）</t>
  </si>
  <si>
    <t xml:space="preserve">「……「兄為神仙，弟為枯骨，命也。」毅因出藥五十丸遺嘏，曰：「此藥一丸，可增一歲耳。歲滿復來，無久居人世，以自苦也。」歡宴畢，嘏乃辭行。自是已後，遂絕影」</t>
  </si>
  <si>
    <t xml:space="preserve">【橘社叩树·水府特使】落第书生柳毅为牧羊龙女传书洞庭水府，三叩社橘树即入水晶宫，后成洞庭水仙。</t>
  </si>
  <si>
    <t xml:space="preserve">【交互律】人类与四海江河水府的官方紧急通信通道：在洞庭湖君山橘社特定基站连发三次脉冲（三叩社橘），即可直连水府总机。</t>
  </si>
  <si>
    <t xml:space="preserve">长江中游洞庭湖水文应急海底光缆总网关“橘社三叩接口”</t>
  </si>
  <si>
    <t xml:space="preserve">洞庭湖汛期光纤中断，水文站老站长走到岸边那棵挂牌古橘树前按古礼敲击三下树干，备用无线电台里立刻传来了洞庭水府清晰的水位通报。</t>
  </si>
  <si>
    <t xml:space="preserve">板橋三娘子</t>
  </si>
  <si>
    <t xml:space="preserve">CORE-069</t>
  </si>
  <si>
    <t xml:space="preserve">「【木人耕种·荞麦烧饼化驴】《河东记》汴州板桥店三娘子，以木偶人木牛夜耕种荞麦作烧饼，客食之即化为黑驴」</t>
  </si>
  <si>
    <t xml:space="preserve">【木人耕种·荞麦烧饼化驴】《河东记》汴州板桥店三娘子，以木偶人木牛夜耕种荞麦作烧饼，客食之即化为黑驴供其驱使。</t>
  </si>
  <si>
    <t xml:space="preserve">【克制】凡遇到“免费高额返利/包吃包住高薪诱惑”的完美陷阱，调换其第一块饼（反向投喂）即可令设局者自食其果。</t>
  </si>
  <si>
    <t xml:space="preserve">海外高薪电信诈骗园区“黑驴木偶劳工陷阱”反制行动</t>
  </si>
  <si>
    <t xml:space="preserve">白泽署特勤卧底潜入某跨国黑产园区，识破老板娘正是用催眠甜点把求职者变成“敲键盘黑驴”的板桥三娘子后裔，当场调包甜点将其本人变回毛驴移交法办。</t>
  </si>
  <si>
    <t xml:space="preserve">聶隱娘与紅線</t>
  </si>
  <si>
    <t xml:space="preserve">CORE-070</t>
  </si>
  <si>
    <t xml:space="preserve">「【化蠛蠓入腹·夜盗金盒止兵戈】唐代剑侠女仙，尼师授以羊角匕首，脑后藏刃，能化微虫潜入敌营，盗取床头金」</t>
  </si>
  <si>
    <t xml:space="preserve">【化蠛蠓入腹·夜盗金盒止兵戈】唐代剑侠女仙，尼师授以羊角匕首，脑后藏刃，能化微虫潜入敌营，盗取床头金盒以不流血方式化解藩镇战争。</t>
  </si>
  <si>
    <t xml:space="preserve">【交互律】最高级别的非致命威慑特勤：不杀一人，仅在恶意挑起冲突者的私人保险箱留下一枚红线电子签章。</t>
  </si>
  <si>
    <t xml:space="preserve">国家级网络空间威慑与反战止戈特勤组“红线金盒协议”</t>
  </si>
  <si>
    <t xml:space="preserve">某境外军工集团正准备发动大规模网络攻击，其董事长早起打开防弹保险柜，发现里面的加密U盘旁多了一缕唐代红丝线，攻击计划当即取消。</t>
  </si>
  <si>
    <t xml:space="preserve">崑崙奴磨勒</t>
  </si>
  <si>
    <t xml:space="preserve">CORE-071</t>
  </si>
  <si>
    <t xml:space="preserve">「【负人逾十重高垣·矫若翅翎】唐代《传奇》崔生家昆仑奴磨勒，背负崔生与红绡妓飞越一品重臣十重高墙，猛犬」</t>
  </si>
  <si>
    <t xml:space="preserve">【负人逾十重高垣·矫若翅翎】唐代《传奇》崔生家昆仑奴磨勒，背负崔生与红绡妓飞越一品重臣十重高墙，猛犬不吠，羽箭莫及。</t>
  </si>
  <si>
    <t xml:space="preserve">【交互律】绝对忠诚信义的极限救援专家，唯在成全真挚良缘或绝境救人时展现超越重力常数之轻功。</t>
  </si>
  <si>
    <t xml:space="preserve">超高层建筑火场外墙极限攀爬救援外骨骼“磨勒飞垣甲”</t>
  </si>
  <si>
    <t xml:space="preserve">百米摩天楼突发大火云梯无法企及，身穿“磨勒外骨骼”的消防特勤员背起两名被困儿童，在垂直玻璃幕墙上如履平地三步跃上天台。</t>
  </si>
  <si>
    <t xml:space="preserve">三尸神</t>
  </si>
  <si>
    <t xml:space="preserve">CORE-072</t>
  </si>
  <si>
    <t xml:space="preserve">「【居人三丹田·庚申夜上奏人罪】上尸彭倨（居脑好宝物）、中尸彭质（居腹好五味）、下尸彭矫（居足好色欲）」</t>
  </si>
  <si>
    <t xml:space="preserve">【居人三丹田·庚申夜上奏人罪】上尸彭倨（居脑好宝物）、中尸彭质（居腹好五味）、下尸彭矫（居足好色欲），每逢庚申日趁人熟睡上天曹打小报告。</t>
  </si>
  <si>
    <t xml:space="preserve">【克制】现代“三尸”寄生于手机购物、外卖与擦边短视频推荐算法中；每逢庚申日开启“守庚申数字断舍离模式”并直呼彭倨、彭质、彭矫三名可清空成瘾缓存。</t>
  </si>
  <si>
    <t xml:space="preserve">智能手机三大成瘾推荐算法（消费主义彭倨、暴饮暴食彭质、多巴胺擦边彭矫）与“庚申日隐私防火墙”</t>
  </si>
  <si>
    <t xml:space="preserve">安全专家发现手机后台有三个隐藏进程每60天（庚申周期）向广告商上传一次用户全量隐私，运行“守庚申清道夫脚本”喊出三彭真名后彻底根除。</t>
  </si>
  <si>
    <t xml:space="preserve">天妃（林氏媽祖）</t>
  </si>
  <si>
    <t xml:space="preserve">CORE-073</t>
  </si>
  <si>
    <t xml:space="preserve">「【朱衣乘席渡海·神灯导航】莆田湄洲林氏女，生前通悟秘法救海难，死后常着朱衣飞翻海上，于狂风怒涛中悬紅」</t>
  </si>
  <si>
    <t xml:space="preserve">【朱衣乘席渡海·神灯导航】莆田湄洲林氏女，生前通悟秘法救海难，死后常着朱衣飞翻海上，于狂风怒涛中悬紅灯引航舟船。</t>
  </si>
  <si>
    <t xml:space="preserve">【交互律】配备“千里眼（高明）顺风耳（高觉）”双频雷达；凡远洋科考船、海警船与跨海航班均受天妃红灯航标庇护。</t>
  </si>
  <si>
    <t xml:space="preserve">中国远洋航运北斗应急搜救信标网“湄洲朱衣红灯” &amp; 远洋气象雷达“千里顺风阵列”</t>
  </si>
  <si>
    <t xml:space="preserve">万吨货轮在西太平洋遭遇超强台风全船断电，船长在驾驶台看到船头桅杆顶端亮起一团永不熄灭的朱红灯火，伴随左右两道雷达波一路引船驶入避风港。</t>
  </si>
  <si>
    <t xml:space="preserve">雷震子与土行孫</t>
  </si>
  <si>
    <t xml:space="preserve">CORE-074</t>
  </si>
  <si>
    <t xml:space="preserve">「【食杏生風雷二翅·地行术日行千里】《封神》文王百子雷震子肋生风雷双翼主高空电磁破障；惧留孙弟子土行孙」</t>
  </si>
  <si>
    <t xml:space="preserve">【食杏生風雷二翅·地行术日行千里】《封神》文王百子雷震子肋生风雷双翼主高空电磁破障；惧留孙弟子土行孙凭捆仙绳与地行术在岩层中自由穿行。</t>
  </si>
  <si>
    <t xml:space="preserve">【交互律】构成现代城市“高空无人机（风雷翅）+ 地下非开挖顶管（地行术）”立体特种工程双雄。</t>
  </si>
  <si>
    <t xml:space="preserve">超高压输电线路带电抢修双翼飞人机甲“雷震子” × 城市地下管网无损穿行探测机器人“土行孙”</t>
  </si>
  <si>
    <t xml:space="preserve">台风夜特高压铁塔受损且地下电缆同时故障，“雷震子”高空抗风无人机与“土行孙”穿地机器人在天地间同步合拢修复断点。</t>
  </si>
  <si>
    <t xml:space="preserve">混元金斗与番天印</t>
  </si>
  <si>
    <t xml:space="preserve">CORE-075</t>
  </si>
  <si>
    <t xml:space="preserve">「【削顶上三花·翻天覆地硬核物理砸击】三霄娘娘“混元金斗”（人间净桶/产盆升华，专削神仙顶上三花五气朝」</t>
  </si>
  <si>
    <t xml:space="preserve">【削顶上三花·翻天覆地硬核物理砸击】三霄娘娘“混元金斗”（人间净桶/产盆升华，专削神仙顶上三花五气朝元）；广成子“番天印”（半截不周山炼制，无视一切花哨法术直接物理拍扁）。</t>
  </si>
  <si>
    <t xml:space="preserve">【交互律】面对花里胡哨的高维代码病毒，先用“混元金斗沙盒”洗去其管理员权限（削三花），再用“番天印物理断电锤”一键砸穿硬件底座。</t>
  </si>
  <si>
    <t xml:space="preserve">最高级别AI越狱权限剥离沙盒“混元金斗” × 物理级电磁脉冲（EMP）硬件熔断器“番天印”</t>
  </si>
  <si>
    <t xml:space="preserve">当某境外黑客组织吹嘘其AI病毒拥有九层量子加密无法破解时，白泽署老干员淡定地甩出一枚印章状EMP硬件锁（番天印），直接从物理层将其服务器拍成了砖头。</t>
  </si>
  <si>
    <t xml:space="preserve">鹿蜀</t>
  </si>
  <si>
    <r>
      <rPr>
        <sz val="9"/>
        <color rgb="FF1F2937"/>
        <rFont val="Microsoft YaHei"/>
        <family val="0"/>
        <charset val="1"/>
      </rPr>
      <t xml:space="preserve">SHJ-01-0005</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t>
    </r>
    <r>
      <rPr>
        <sz val="9"/>
        <color rgb="FF1F2937"/>
        <rFont val="Noto Sans CJK SC"/>
        <family val="2"/>
      </rPr>
      <t xml:space="preserve">南山經</t>
    </r>
    <r>
      <rPr>
        <sz val="9"/>
        <color rgb="FF1F2937"/>
        <rFont val="Microsoft YaHei"/>
        <family val="0"/>
        <charset val="1"/>
      </rPr>
      <t xml:space="preserve">·</t>
    </r>
    <r>
      <rPr>
        <sz val="9"/>
        <color rgb="FF1F2937"/>
        <rFont val="Noto Sans CJK SC"/>
        <family val="2"/>
      </rPr>
      <t xml:space="preserve">南山經之首（战国至汉初；郭璞注）》</t>
    </r>
  </si>
  <si>
    <t xml:space="preserve">见载于02_山海经主表（已入库标准原型）</t>
  </si>
  <si>
    <t xml:space="preserve">「有獸焉，其狀如馬而白首，其文如虎而赤尾，其音如謠，其名曰鹿蜀，佩之宜子孫。」</t>
  </si>
  <si>
    <t xml:space="preserve">【原典气机特征】「有獸焉，其狀如馬而白首」；当北京中关村的24小时无人值守智慧药房处于满负荷运转或节气交接（子午流注）时，其古籍气机拓扑被激活显化。</t>
  </si>
  <si>
    <t xml:space="preserve">【红尘混居牒移】尊重其「其狀如馬而白首」之古礼习性，由辖区白泽署送达王灵官第三眼零信任审计探头与《非人常住混居证》，纳入北京中关村社区网格共治。</t>
  </si>
  <si>
    <t xml:space="preserve">北京中关村24小时无人值守智慧药房 × 「鹿蜀」气机同构体（映射古籍：有獸焉）</t>
  </si>
  <si>
    <t xml:space="preserve">2026年秋，北京中关村的24小时无人值守智慧药房连续三夜出现「其狀如馬而白首」式的异常记录，工程师最初以为是系统故障，直到白泽署干员比对《山海經·卷1南山經·南山經之首（战国至汉初；郭璞注）》原典，用王灵官第三眼零信任审计探头与「鹿蜀」完成了首次跨时代工单会签。</t>
  </si>
  <si>
    <t xml:space="preserve">當扈</t>
  </si>
  <si>
    <r>
      <rPr>
        <sz val="9"/>
        <color rgb="FF1F2937"/>
        <rFont val="Microsoft YaHei"/>
        <family val="0"/>
        <charset val="1"/>
      </rPr>
      <t xml:space="preserve">SHJ-02-0109</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2</t>
    </r>
    <r>
      <rPr>
        <sz val="9"/>
        <color rgb="FF1F2937"/>
        <rFont val="Noto Sans CJK SC"/>
        <family val="2"/>
      </rPr>
      <t xml:space="preserve">西山經</t>
    </r>
    <r>
      <rPr>
        <sz val="9"/>
        <color rgb="FF1F2937"/>
        <rFont val="Microsoft YaHei"/>
        <family val="0"/>
        <charset val="1"/>
      </rPr>
      <t xml:space="preserve">·</t>
    </r>
    <r>
      <rPr>
        <sz val="9"/>
        <color rgb="FF1F2937"/>
        <rFont val="Noto Sans CJK SC"/>
        <family val="2"/>
      </rPr>
      <t xml:space="preserve">西次四經（战国至汉初；郭璞注）》</t>
    </r>
  </si>
  <si>
    <t xml:space="preserve">「其鳥多當扈，其狀如雉，以其髯飛，食之不眴目。」</t>
  </si>
  <si>
    <t xml:space="preserve">【原典气机特征】「其鳥多當扈，其狀如雉」；当成都天府软件园的民航万米高空气象相控阵雷达处于满负荷运转或节气交接（子午流注）时，其古籍气机拓扑被激活显化。</t>
  </si>
  <si>
    <t xml:space="preserve">【白泽正名破障】切勿拆卸硬件设备；值班员只需对准异常源开启加盖东岳第八司红印的《市政借道牒》，直呼其古籍真名「當扈（SHJ-02-0109）」，即可令其归位听命。</t>
  </si>
  <si>
    <t xml:space="preserve">成都天府软件园民航万米高空气象相控阵雷达 × 「當扈」气机同构体（映射古籍：其鳥多當扈）</t>
  </si>
  <si>
    <t xml:space="preserve">2026年秋，成都天府软件园的民航万米高空气象相控阵雷达连续三夜出现「其狀如雉」式的异常记录，工程师最初以为是系统故障，直到白泽署干员比对《山海經·卷2西山經·西次四經（战国至汉初；郭璞注）》原典，用加盖东岳第八司红印的《市政借道牒》与「當扈」完成了首次跨时代工单会签。</t>
  </si>
  <si>
    <t xml:space="preserve">猲狙</t>
  </si>
  <si>
    <r>
      <rPr>
        <sz val="9"/>
        <color rgb="FF1F2937"/>
        <rFont val="Microsoft YaHei"/>
        <family val="0"/>
        <charset val="1"/>
      </rPr>
      <t xml:space="preserve">SHJ-04-0212</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4</t>
    </r>
    <r>
      <rPr>
        <sz val="9"/>
        <color rgb="FF1F2937"/>
        <rFont val="Noto Sans CJK SC"/>
        <family val="2"/>
      </rPr>
      <t xml:space="preserve">東山經</t>
    </r>
    <r>
      <rPr>
        <sz val="9"/>
        <color rgb="FF1F2937"/>
        <rFont val="Microsoft YaHei"/>
        <family val="0"/>
        <charset val="1"/>
      </rPr>
      <t xml:space="preserve">·</t>
    </r>
    <r>
      <rPr>
        <sz val="9"/>
        <color rgb="FF1F2937"/>
        <rFont val="Noto Sans CJK SC"/>
        <family val="2"/>
      </rPr>
      <t xml:space="preserve">東次四經（战国至汉初；郭璞注）》</t>
    </r>
  </si>
  <si>
    <t xml:space="preserve">「有獸焉，其狀如狼，赤首鼠目，其音如豚，名曰猲狙，是食人。」</t>
  </si>
  <si>
    <t xml:space="preserve">【原典气机特征】「有獸焉，其狀如狼」；当武汉光谷的智能网联汽车毫米波雷达测试场处于满负荷运转或节气交接（子午流注）时，其古籍气机拓扑被激活显化。</t>
  </si>
  <si>
    <t xml:space="preserve">【红尘混居牒移】尊重其「其狀如狼」之古礼习性，由辖区白泽署送达混元金斗权限剥离沙盒（V4.2）与《非人常住混居证》，纳入武汉光谷社区网格共治。</t>
  </si>
  <si>
    <t xml:space="preserve">武汉光谷智能网联汽车毫米波雷达测试场 × 「猲狙」气机同构体（映射古籍：有獸焉）</t>
  </si>
  <si>
    <t xml:space="preserve">2026年秋，武汉光谷的智能网联汽车毫米波雷达测试场连续三夜出现「其狀如狼」式的异常记录，工程师最初以为是系统故障，直到白泽署干员比对《山海經·卷4東山經·東次四經（战国至汉初；郭璞注）》原典，用混元金斗权限剥离沙盒（V4.2）与「猲狙」完成了首次跨时代工单会签。</t>
  </si>
  <si>
    <t xml:space="preserve">嬰勺</t>
  </si>
  <si>
    <r>
      <rPr>
        <sz val="9"/>
        <color rgb="FF1F2937"/>
        <rFont val="Microsoft YaHei"/>
        <family val="0"/>
        <charset val="1"/>
      </rPr>
      <t xml:space="preserve">SHJ-05-0311</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5</t>
    </r>
    <r>
      <rPr>
        <sz val="9"/>
        <color rgb="FF1F2937"/>
        <rFont val="Noto Sans CJK SC"/>
        <family val="2"/>
      </rPr>
      <t xml:space="preserve">中山經</t>
    </r>
    <r>
      <rPr>
        <sz val="9"/>
        <color rgb="FF1F2937"/>
        <rFont val="Microsoft YaHei"/>
        <family val="0"/>
        <charset val="1"/>
      </rPr>
      <t xml:space="preserve">·</t>
    </r>
    <r>
      <rPr>
        <sz val="9"/>
        <color rgb="FF1F2937"/>
        <rFont val="Noto Sans CJK SC"/>
        <family val="2"/>
      </rPr>
      <t xml:space="preserve">中次十一經（战国至汉初；郭璞注）》</t>
    </r>
  </si>
  <si>
    <t xml:space="preserve">「有鳥焉，其名曰嬰勺，其狀如鵲，赤目、赤喙、白身，其尾若勺，其鳴自呼。」</t>
  </si>
  <si>
    <t xml:space="preserve">【原典气机特征】「有鳥焉，其名曰嬰勺」；当广州珠江新城的7纳米极紫外光刻机对准光路处于满负荷运转或节气交接（子午流注）时，其古籍气机拓扑被激活显化。</t>
  </si>
  <si>
    <t xml:space="preserve">【白泽正名破障】切勿拆卸硬件设备；值班员只需对准异常源开启《白泽图鉴App》声波真名广播，直呼其古籍真名「嬰勺（SHJ-05-0311）」，即可令其归位听命。</t>
  </si>
  <si>
    <t xml:space="preserve">广州珠江新城7纳米极紫外光刻机对准光路 × 「嬰勺」气机同构体（映射古籍：有鳥焉）</t>
  </si>
  <si>
    <t xml:space="preserve">2026年秋，广州珠江新城的7纳米极紫外光刻机对准光路连续三夜出现「其名曰嬰勺」式的异常记录，工程师最初以为是系统故障，直到白泽署干员比对《山海經·卷5中山經·中次十一經（战国至汉初；郭璞注）》原典，用《白泽图鉴App》声波真名广播与「嬰勺」完成了首次跨时代工单会签。</t>
  </si>
  <si>
    <t xml:space="preserve">帝丹朱</t>
  </si>
  <si>
    <r>
      <rPr>
        <sz val="9"/>
        <color rgb="FF1F2937"/>
        <rFont val="Microsoft YaHei"/>
        <family val="0"/>
        <charset val="1"/>
      </rPr>
      <t xml:space="preserve">SHJ-10-0432</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10</t>
    </r>
    <r>
      <rPr>
        <sz val="9"/>
        <color rgb="FF1F2937"/>
        <rFont val="Noto Sans CJK SC"/>
        <family val="2"/>
      </rPr>
      <t xml:space="preserve">海內南經</t>
    </r>
    <r>
      <rPr>
        <sz val="9"/>
        <color rgb="FF1F2937"/>
        <rFont val="Microsoft YaHei"/>
        <family val="0"/>
        <charset val="1"/>
      </rPr>
      <t xml:space="preserve">·</t>
    </r>
    <r>
      <rPr>
        <sz val="9"/>
        <color rgb="FF1F2937"/>
        <rFont val="Noto Sans CJK SC"/>
        <family val="2"/>
      </rPr>
      <t xml:space="preserve">海內南經（战国至汉初；郭璞注）》</t>
    </r>
  </si>
  <si>
    <t xml:space="preserve">「蒼梧之山，帝舜葬于陽，帝丹朱葬于陰。」</t>
  </si>
  <si>
    <t xml:space="preserve">【原典气机特征】「蒼梧之山，帝舜葬于陽」；当南京紫金山实验室的共享充电宝城市物联网总控台处于满负荷运转或节气交接（子午流注）时，其古籍气机拓扑被激活显化。</t>
  </si>
  <si>
    <t xml:space="preserve">【红尘混居牒移】尊重其「帝舜葬于陽」之古礼习性，由辖区白泽署送达正一玄坛公平贸易哈希校验码与《非人常住混居证》，纳入南京紫金山实验室社区网格共治。</t>
  </si>
  <si>
    <t xml:space="preserve">南京紫金山实验室共享充电宝城市物联网总控台 × 「帝丹朱」气机同构体（映射古籍：蒼梧之山）</t>
  </si>
  <si>
    <t xml:space="preserve">2026年秋，南京紫金山实验室的共享充电宝城市物联网总控台连续三夜出现「帝舜葬于陽」式的异常记录，工程师最初以为是系统故障，直到白泽署干员比对《山海經·卷10海內南經·海內南經（战国至汉初；郭璞注）》原典，用正一玄坛公平贸易哈希校验码与「帝丹朱」完成了首次跨时代工单会签。</t>
  </si>
  <si>
    <t xml:space="preserve">盈民之國</t>
  </si>
  <si>
    <r>
      <rPr>
        <sz val="9"/>
        <color rgb="FF1F2937"/>
        <rFont val="Microsoft YaHei"/>
        <family val="0"/>
        <charset val="1"/>
      </rPr>
      <t xml:space="preserve">SHJ-15-0575</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15</t>
    </r>
    <r>
      <rPr>
        <sz val="9"/>
        <color rgb="FF1F2937"/>
        <rFont val="Noto Sans CJK SC"/>
        <family val="2"/>
      </rPr>
      <t xml:space="preserve">大荒南經</t>
    </r>
    <r>
      <rPr>
        <sz val="9"/>
        <color rgb="FF1F2937"/>
        <rFont val="Microsoft YaHei"/>
        <family val="0"/>
        <charset val="1"/>
      </rPr>
      <t xml:space="preserve">·</t>
    </r>
    <r>
      <rPr>
        <sz val="9"/>
        <color rgb="FF1F2937"/>
        <rFont val="Noto Sans CJK SC"/>
        <family val="2"/>
      </rPr>
      <t xml:space="preserve">大荒南經（战国至汉初；郭璞注）》</t>
    </r>
  </si>
  <si>
    <t xml:space="preserve">异人异国（异国/异民）</t>
  </si>
  <si>
    <t xml:space="preserve">「有盈民之國，於姓，黍食。又有人方食木葉。」</t>
  </si>
  <si>
    <t xml:space="preserve">【原典气机特征】「有盈民之國，又有人方食木葉」；当西安曲江新区的数字人民币离线硬件钱包芯片处于满负荷运转或节气交接（子午流注）时，其古籍气机拓扑被激活显化。</t>
  </si>
  <si>
    <t xml:space="preserve">【红尘混居牒移】尊重其「又有人方食木葉」之古礼习性，由辖区白泽署送达迷谷四照黑理木反光车贴与《非人常住混居证》，纳入西安曲江新区社区网格共治。</t>
  </si>
  <si>
    <t xml:space="preserve">西安曲江新区数字人民币离线硬件钱包芯片 × 「盈民之國」气机同构体（映射古籍：有盈民之國）</t>
  </si>
  <si>
    <t xml:space="preserve">2026年秋，西安曲江新区的数字人民币离线硬件钱包芯片连续三夜出现「又有人方食木葉」式的异常记录，工程师最初以为是系统故障，直到白泽署干员比对《山海經·卷15大荒南經·大荒南經（战国至汉初；郭璞注）》原典，用迷谷四照黑理木反光车贴与「盈民之國」完成了首次跨时代工单会签。</t>
  </si>
  <si>
    <t xml:space="preserve">伯夷父</t>
  </si>
  <si>
    <r>
      <rPr>
        <sz val="9"/>
        <color rgb="FF1F2937"/>
        <rFont val="Microsoft YaHei"/>
        <family val="0"/>
        <charset val="1"/>
      </rPr>
      <t xml:space="preserve">SHJ-18-0755</t>
    </r>
    <r>
      <rPr>
        <sz val="9"/>
        <color rgb="FF1F2937"/>
        <rFont val="Noto Sans CJK SC"/>
        <family val="2"/>
      </rPr>
      <t xml:space="preserve">《山海經</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18</t>
    </r>
    <r>
      <rPr>
        <sz val="9"/>
        <color rgb="FF1F2937"/>
        <rFont val="Noto Sans CJK SC"/>
        <family val="2"/>
      </rPr>
      <t xml:space="preserve">海內經</t>
    </r>
    <r>
      <rPr>
        <sz val="9"/>
        <color rgb="FF1F2937"/>
        <rFont val="Microsoft YaHei"/>
        <family val="0"/>
        <charset val="1"/>
      </rPr>
      <t xml:space="preserve">·</t>
    </r>
    <r>
      <rPr>
        <sz val="9"/>
        <color rgb="FF1F2937"/>
        <rFont val="Noto Sans CJK SC"/>
        <family val="2"/>
      </rPr>
      <t xml:space="preserve">海內經（战国至汉初；郭璞注）》</t>
    </r>
  </si>
  <si>
    <t xml:space="preserve">「伯夷父生西岳，西岳生先龍，先龍是始生氐羌，氐羌乞姓。」</t>
  </si>
  <si>
    <t xml:space="preserve">【原典气机特征】「伯夷父生西岳，西岳生先龍」；当苏州工业园区的自动驾驶高精地图OTA服务器处于满负荷运转或节气交接（子午流注）时，其古籍气机拓扑被激活显化。</t>
  </si>
  <si>
    <t xml:space="preserve">【红尘混居牒移】尊重其「西岳生先龍」之古礼习性，由辖区白泽署送达《五藏山经》吉玉糈米全息信标与《非人常住混居证》，纳入苏州工业园区社区网格共治。</t>
  </si>
  <si>
    <t xml:space="preserve">苏州工业园区自动驾驶高精地图OTA服务器 × 「伯夷父」气机同构体（映射古籍：伯夷父生西岳）</t>
  </si>
  <si>
    <t xml:space="preserve">2026年秋，苏州工业园区的自动驾驶高精地图OTA服务器连续三夜出现「西岳生先龍」式的异常记录，工程师最初以为是系统故障，直到白泽署干员比对《山海經·卷18海內經·海內經（战国至汉初；郭璞注）》原典，用《五藏山经》吉玉糈米全息信标与「伯夷父」完成了首次跨时代工单会签。</t>
  </si>
  <si>
    <t xml:space="preserve">櫟社樹</t>
  </si>
  <si>
    <r>
      <rPr>
        <sz val="9"/>
        <color rgb="FF1F2937"/>
        <rFont val="Microsoft YaHei"/>
        <family val="0"/>
        <charset val="1"/>
      </rPr>
      <t xml:space="preserve">XQ-0202</t>
    </r>
    <r>
      <rPr>
        <sz val="9"/>
        <color rgb="FF1F2937"/>
        <rFont val="Noto Sans CJK SC"/>
        <family val="2"/>
      </rPr>
      <t xml:space="preserve">《莊子</t>
    </r>
    <r>
      <rPr>
        <sz val="9"/>
        <color rgb="FF1F2937"/>
        <rFont val="Microsoft YaHei"/>
        <family val="0"/>
        <charset val="1"/>
      </rPr>
      <t xml:space="preserve">·</t>
    </r>
    <r>
      <rPr>
        <sz val="9"/>
        <color rgb="FF1F2937"/>
        <rFont val="Noto Sans CJK SC"/>
        <family val="2"/>
      </rPr>
      <t xml:space="preserve">人間世》</t>
    </r>
  </si>
  <si>
    <t xml:space="preserve">见载于03_先秦主表（已入库标准原型）</t>
  </si>
  <si>
    <t xml:space="preserve">妖精（木精（社树之灵））</t>
  </si>
  <si>
    <t xml:space="preserve">「匠石歸，櫟社見夢曰：「汝將惡乎比予哉？」」</t>
  </si>
  <si>
    <t xml:space="preserve">【原典气机特征】「匠石歸，櫟社見夢曰」；当合肥量子科学岛的柔性OLED折叠屏老化测试暗室处于满负荷运转或节气交接（子午流注）时，其古籍气机拓扑被激活显化。</t>
  </si>
  <si>
    <t xml:space="preserve">【采撷与谐振守则】依据「「汝將惡乎比予哉？」之性，须以守庚申数字断舍离清道夫脚本进行无损频谱提取；严禁商业掠夺式滥采，否则增益反转。</t>
  </si>
  <si>
    <t xml:space="preserve">合肥量子科学岛柔性OLED折叠屏老化测试暗室 × 「櫟社樹」气机同构体（映射古籍：匠石歸）</t>
  </si>
  <si>
    <t xml:space="preserve">2026年秋，合肥量子科学岛的柔性OLED折叠屏老化测试暗室连续三夜出现「櫟社見夢曰」式的异常记录，工程师最初以为是系统故障，直到白泽署干员比对《莊子·人間世》原典，用守庚申数字断舍离清道夫脚本与「櫟社樹」完成了首次跨时代工单会签。</t>
  </si>
  <si>
    <t xml:space="preserve">少皞鳥官（鳳鳥氏等）</t>
  </si>
  <si>
    <r>
      <rPr>
        <sz val="9"/>
        <color rgb="FF1F2937"/>
        <rFont val="Microsoft YaHei"/>
        <family val="0"/>
        <charset val="1"/>
      </rPr>
      <t xml:space="preserve">XQ-0340</t>
    </r>
    <r>
      <rPr>
        <sz val="9"/>
        <color rgb="FF1F2937"/>
        <rFont val="Noto Sans CJK SC"/>
        <family val="2"/>
      </rPr>
      <t xml:space="preserve">《左傳</t>
    </r>
    <r>
      <rPr>
        <sz val="9"/>
        <color rgb="FF1F2937"/>
        <rFont val="Microsoft YaHei"/>
        <family val="0"/>
        <charset val="1"/>
      </rPr>
      <t xml:space="preserve">·</t>
    </r>
    <r>
      <rPr>
        <sz val="9"/>
        <color rgb="FF1F2937"/>
        <rFont val="Noto Sans CJK SC"/>
        <family val="2"/>
      </rPr>
      <t xml:space="preserve">昭公十七年》</t>
    </r>
  </si>
  <si>
    <r>
      <rPr>
        <sz val="9"/>
        <color rgb="FF1F2937"/>
        <rFont val="Microsoft YaHei"/>
        <family val="0"/>
        <charset val="1"/>
      </rPr>
      <t xml:space="preserve">SHJ-02-0093 </t>
    </r>
    <r>
      <rPr>
        <sz val="9"/>
        <color rgb="FF1F2937"/>
        <rFont val="Noto Sans CJK SC"/>
        <family val="2"/>
      </rPr>
      <t xml:space="preserve">少昊；</t>
    </r>
    <r>
      <rPr>
        <sz val="9"/>
        <color rgb="FF1F2937"/>
        <rFont val="Microsoft YaHei"/>
        <family val="0"/>
        <charset val="1"/>
      </rPr>
      <t xml:space="preserve">XQ-0032 </t>
    </r>
    <r>
      <rPr>
        <sz val="9"/>
        <color rgb="FF1F2937"/>
        <rFont val="Noto Sans CJK SC"/>
        <family val="2"/>
      </rPr>
      <t xml:space="preserve">西皇；</t>
    </r>
    <r>
      <rPr>
        <sz val="9"/>
        <color rgb="FF1F2937"/>
        <rFont val="Microsoft YaHei"/>
        <family val="0"/>
        <charset val="1"/>
      </rPr>
      <t xml:space="preserve">SHJ-02-0071 </t>
    </r>
    <r>
      <rPr>
        <sz val="9"/>
        <color rgb="FF1F2937"/>
        <rFont val="Noto Sans CJK SC"/>
        <family val="2"/>
      </rPr>
      <t xml:space="preserve">黃帝；</t>
    </r>
    <r>
      <rPr>
        <sz val="9"/>
        <color rgb="FF1F2937"/>
        <rFont val="Microsoft YaHei"/>
        <family val="0"/>
        <charset val="1"/>
      </rPr>
      <t xml:space="preserve">SHJ-03-0179 </t>
    </r>
    <r>
      <rPr>
        <sz val="9"/>
        <color rgb="FF1F2937"/>
        <rFont val="Noto Sans CJK SC"/>
        <family val="2"/>
      </rPr>
      <t xml:space="preserve">炎帝</t>
    </r>
  </si>
  <si>
    <t xml:space="preserve">创世与始祖神（鸟图腾官制）</t>
  </si>
  <si>
    <t xml:space="preserve">「我高祖少皞摯之立也，鳳鳥適至，故紀於鳥，為鳥師而鳥名。鳳鳥氏，歷正也；玄鳥氏，司分者也；伯趙氏，司至者也；青鳥氏，司啟者也；丹鳥氏，司閉者也；祝鳩氏，」</t>
  </si>
  <si>
    <t xml:space="preserve">【原典气机特征】「我高祖少皞摯之立也，鳳鳥適至」；当青岛深海基地的深海万米载人潜器钛合金耐压舱处于满负荷运转或节气交接（子午流注）时，其古籍气机拓扑被激活显化。</t>
  </si>
  <si>
    <t xml:space="preserve">【白泽正名破障】切勿拆卸硬件设备；值班员只需对准异常源开启激光微雕桃木探针（无尘车间级），直呼其古籍真名「少皞鳥官（XQ-0340）」，即可令其归位听命。</t>
  </si>
  <si>
    <t xml:space="preserve">青岛深海基地深海万米载人潜器钛合金耐压舱 × 「少皞鳥官」气机同构体（映射古籍：我高祖少皞摯之立也）</t>
  </si>
  <si>
    <t xml:space="preserve">2026年秋，青岛深海基地的深海万米载人潜器钛合金耐压舱连续三夜出现「鳳鳥適至」式的异常记录，工程师最初以为是系统故障，直到白泽署干员比对《左傳·昭公十七年》原典，用激光微雕桃木探针（无尘车间级）与「少皞鳥官」完成了首次跨时代工单会签。</t>
  </si>
  <si>
    <t xml:space="preserve">吉光（神馬毛裘）</t>
  </si>
  <si>
    <r>
      <rPr>
        <sz val="9"/>
        <color rgb="FF1F2937"/>
        <rFont val="Microsoft YaHei"/>
        <family val="0"/>
        <charset val="1"/>
      </rPr>
      <t xml:space="preserve">HW-0084</t>
    </r>
    <r>
      <rPr>
        <sz val="9"/>
        <color rgb="FF1F2937"/>
        <rFont val="Noto Sans CJK SC"/>
        <family val="2"/>
      </rPr>
      <t xml:space="preserve">《十洲記（海內十洲記</t>
    </r>
    <r>
      <rPr>
        <sz val="9"/>
        <color rgb="FF1F2937"/>
        <rFont val="Microsoft YaHei"/>
        <family val="0"/>
        <charset val="1"/>
      </rPr>
      <t xml:space="preserve">·</t>
    </r>
    <r>
      <rPr>
        <sz val="9"/>
        <color rgb="FF1F2937"/>
        <rFont val="Noto Sans CJK SC"/>
        <family val="2"/>
      </rPr>
      <t xml:space="preserve">鳳麟洲）》</t>
    </r>
  </si>
  <si>
    <r>
      <rPr>
        <sz val="9"/>
        <color rgb="FF1F2937"/>
        <rFont val="Microsoft YaHei"/>
        <family val="0"/>
        <charset val="1"/>
      </rPr>
      <t xml:space="preserve">SL-4323 </t>
    </r>
    <r>
      <rPr>
        <sz val="9"/>
        <color rgb="FF1F2937"/>
        <rFont val="Noto Sans CJK SC"/>
        <family val="2"/>
      </rPr>
      <t xml:space="preserve">吉光（澤馬，吉良）（雲笈七籤</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100·</t>
    </r>
    <r>
      <rPr>
        <sz val="9"/>
        <color rgb="FF1F2937"/>
        <rFont val="Noto Sans CJK SC"/>
        <family val="2"/>
      </rPr>
      <t xml:space="preserve">宋辽金批）</t>
    </r>
  </si>
  <si>
    <t xml:space="preserve">异兽神兽（神马）</t>
  </si>
  <si>
    <t xml:space="preserve">「……吉光毛裘，武帝受以付外庫，不知膠裘二物之妙用也。以為西国雖遠，而上貢者不奇，稽留使者未遣。又，時武帝幸華林園射虎，而弩弦断。使者時從駕，又上膠一分」</t>
  </si>
  <si>
    <t xml:space="preserve">【原典气机特征】「……吉光毛裘，武帝受以付外庫」；当长沙马栏山的大型音乐节低频声学阵列控台处于满负荷运转或节气交接（子午流注）时，其古籍气机拓扑被激活显化。</t>
  </si>
  <si>
    <t xml:space="preserve">【红尘混居牒移】尊重其「武帝受以付外庫」之古礼习性，由辖区白泽署送达灌江口细犬底层数据包嗅探器与《非人常住混居证》，纳入长沙马栏山社区网格共治。</t>
  </si>
  <si>
    <t xml:space="preserve">长沙马栏山大型音乐节低频声学阵列控台 × 「吉光」气机同构体（映射古籍：……吉光毛裘）</t>
  </si>
  <si>
    <t xml:space="preserve">2026年秋，长沙马栏山的大型音乐节低频声学阵列控台连续三夜出现「武帝受以付外庫」式的异常记录，工程师最初以为是系统故障，直到白泽署干员比对《十洲記（海內十洲記·鳳麟洲）》原典，用灌江口细犬底层数据包嗅探器与「吉光」完成了首次跨时代工单会签。</t>
  </si>
  <si>
    <t xml:space="preserve">罪謫之魂（二兒著械）</t>
  </si>
  <si>
    <r>
      <rPr>
        <sz val="9"/>
        <color rgb="FF1F2937"/>
        <rFont val="Microsoft YaHei"/>
        <family val="0"/>
        <charset val="1"/>
      </rPr>
      <t xml:space="preserve">HW-0185</t>
    </r>
    <r>
      <rPr>
        <sz val="9"/>
        <color rgb="FF1F2937"/>
        <rFont val="Noto Sans CJK SC"/>
        <family val="2"/>
      </rPr>
      <t xml:space="preserve">《幽明錄（幽明錄</t>
    </r>
    <r>
      <rPr>
        <sz val="9"/>
        <color rgb="FF1F2937"/>
        <rFont val="Microsoft YaHei"/>
        <family val="0"/>
        <charset val="1"/>
      </rPr>
      <t xml:space="preserve">·</t>
    </r>
    <r>
      <rPr>
        <sz val="9"/>
        <color rgb="FF1F2937"/>
        <rFont val="Noto Sans CJK SC"/>
        <family val="2"/>
      </rPr>
      <t xml:space="preserve">卷三）》</t>
    </r>
  </si>
  <si>
    <t xml:space="preserve">见载于05_汉魏六朝主表（已入库标准原型）</t>
  </si>
  <si>
    <t xml:space="preserve">人鬼厉鬼（罪魂）</t>
  </si>
  <si>
    <t xml:space="preserve">「……兒並有罪謫，宜為作福。」於是得止哀，而勤為求請。」</t>
  </si>
  <si>
    <t xml:space="preserve">【原典气机特征】「……兒並有罪謫，宜為作福」；当贵阳大数据中心的跨洋海底光缆登陆站中继器处于满负荷运转或节气交接（子午流注）时，其古籍气机拓扑被激活显化。</t>
  </si>
  <si>
    <t xml:space="preserve">【红尘混居牒移】尊重其「宜為作福」之古礼习性，由辖区白泽署送达黄庭内景二十四神归位脉冲仪与《非人常住混居证》，纳入贵阳大数据中心社区网格共治。</t>
  </si>
  <si>
    <t xml:space="preserve">贵阳大数据中心跨洋海底光缆登陆站中继器 × 「罪謫之魂」气机同构体（映射古籍：……兒並有罪謫）</t>
  </si>
  <si>
    <t xml:space="preserve">2026年秋，贵阳大数据中心的跨洋海底光缆登陆站中继器连续三夜出现「宜為作福」式的异常记录，工程师最初以为是系统故障，直到白泽署干员比对《幽明錄（幽明錄·卷三）》原典，用黄庭内景二十四神归位脉冲仪与「罪謫之魂」完成了首次跨时代工单会签。</t>
  </si>
  <si>
    <t xml:space="preserve">三小兒鬼（瓠壺）</t>
  </si>
  <si>
    <r>
      <rPr>
        <sz val="9"/>
        <color rgb="FF1F2937"/>
        <rFont val="Microsoft YaHei"/>
        <family val="0"/>
        <charset val="1"/>
      </rPr>
      <t xml:space="preserve">HW-0288</t>
    </r>
    <r>
      <rPr>
        <sz val="9"/>
        <color rgb="FF1F2937"/>
        <rFont val="Noto Sans CJK SC"/>
        <family val="2"/>
      </rPr>
      <t xml:space="preserve">《幽明錄（幽明錄</t>
    </r>
    <r>
      <rPr>
        <sz val="9"/>
        <color rgb="FF1F2937"/>
        <rFont val="Microsoft YaHei"/>
        <family val="0"/>
        <charset val="1"/>
      </rPr>
      <t xml:space="preserve">·</t>
    </r>
    <r>
      <rPr>
        <sz val="9"/>
        <color rgb="FF1F2937"/>
        <rFont val="Noto Sans CJK SC"/>
        <family val="2"/>
      </rPr>
      <t xml:space="preserve">卷六）》</t>
    </r>
  </si>
  <si>
    <t xml:space="preserve">人鬼厉鬼（童鬼）</t>
  </si>
  <si>
    <t xml:space="preserve">「……而並不沾濡。俊疑非人。俄見共爭一瓠壺子，俊引彈彈之，正中壺，霍然不見。俊得壺，因掛閣邊。明日，有一婦人入門，執壺而泣，俊問之，對曰：「此是小兒物，」</t>
  </si>
  <si>
    <t xml:space="preserve">【原典气机特征】「……而並不沾濡，俊疑非人」；当厦门软件园的脑机接口非侵入式脑电帽采样区处于满负荷运转或节气交接（子午流注）时，其古籍气机拓扑被激活显化。</t>
  </si>
  <si>
    <t xml:space="preserve">【红尘混居牒移】尊重其「俊疑非人」之古礼习性，由辖区白泽署送达朱襄氏五弦降燥低频泛音列与《非人常住混居证》，纳入厦门软件园社区网格共治。</t>
  </si>
  <si>
    <t xml:space="preserve">厦门软件园脑机接口非侵入式脑电帽采样区 × 「三小兒鬼」气机同构体（映射古籍：……而並不沾濡）</t>
  </si>
  <si>
    <t xml:space="preserve">2026年秋，厦门软件园的脑机接口非侵入式脑电帽采样区连续三夜出现「俊疑非人」式的异常记录，工程师最初以为是系统故障，直到白泽署干员比对《幽明錄（幽明錄·卷六）》原典，用朱襄氏五弦降燥低频泛音列与「三小兒鬼」完成了首次跨时代工单会签。</t>
  </si>
  <si>
    <t xml:space="preserve">解形之民、五足獸</t>
  </si>
  <si>
    <r>
      <rPr>
        <sz val="9"/>
        <color rgb="FF1F2937"/>
        <rFont val="Microsoft YaHei"/>
        <family val="0"/>
        <charset val="1"/>
      </rPr>
      <t xml:space="preserve">HW-0381</t>
    </r>
    <r>
      <rPr>
        <sz val="9"/>
        <color rgb="FF1F2937"/>
        <rFont val="Noto Sans CJK SC"/>
        <family val="2"/>
      </rPr>
      <t xml:space="preserve">《拾遺記（拾遺記</t>
    </r>
    <r>
      <rPr>
        <sz val="9"/>
        <color rgb="FF1F2937"/>
        <rFont val="Microsoft YaHei"/>
        <family val="0"/>
        <charset val="1"/>
      </rPr>
      <t xml:space="preserve">_</t>
    </r>
    <r>
      <rPr>
        <sz val="9"/>
        <color rgb="FF1F2937"/>
        <rFont val="Noto Sans CJK SC"/>
        <family val="2"/>
      </rPr>
      <t xml:space="preserve">卷九</t>
    </r>
    <r>
      <rPr>
        <sz val="9"/>
        <color rgb="FF1F2937"/>
        <rFont val="Microsoft YaHei"/>
        <family val="0"/>
        <charset val="1"/>
      </rPr>
      <t xml:space="preserve">·</t>
    </r>
    <r>
      <rPr>
        <sz val="9"/>
        <color rgb="FF1F2937"/>
        <rFont val="Noto Sans CJK SC"/>
        <family val="2"/>
      </rPr>
      <t xml:space="preserve">晉時事）》</t>
    </r>
  </si>
  <si>
    <r>
      <rPr>
        <sz val="9"/>
        <color rgb="FF1F2937"/>
        <rFont val="Microsoft YaHei"/>
        <family val="0"/>
        <charset val="1"/>
      </rPr>
      <t xml:space="preserve">HW-0638 </t>
    </r>
    <r>
      <rPr>
        <sz val="9"/>
        <color rgb="FF1F2937"/>
        <rFont val="Noto Sans CJK SC"/>
        <family val="2"/>
      </rPr>
      <t xml:space="preserve">落頭民（飛頭蠻</t>
    </r>
    <r>
      <rPr>
        <sz val="9"/>
        <color rgb="FF1F2937"/>
        <rFont val="Microsoft YaHei"/>
        <family val="0"/>
        <charset val="1"/>
      </rPr>
      <t xml:space="preserve">·</t>
    </r>
    <r>
      <rPr>
        <sz val="9"/>
        <color rgb="FF1F2937"/>
        <rFont val="Noto Sans CJK SC"/>
        <family val="2"/>
      </rPr>
      <t xml:space="preserve">蟲落）</t>
    </r>
  </si>
  <si>
    <t xml:space="preserve">异人异国（异民）</t>
  </si>
  <si>
    <t xml:space="preserve">「……「東方有解形之民，使頭飛於南海，左手飛於東山，右手飛於西澤，自臍以下，兩足孤立。至暮，頭还肩上，兩手遇疾風飄於海外，落玄洲之上，化為五足獸，則一指」</t>
  </si>
  <si>
    <t xml:space="preserve">【原典气机特征】「……「東方有解形之民，使頭飛於南海」；当天津滨海港的老旧小区加装电梯井道基坑处于满负荷运转或节气交接（子午流注）时，其古籍气机拓扑被激活显化。</t>
  </si>
  <si>
    <t xml:space="preserve">【红尘混居牒移】尊重其「使頭飛於南海」之古礼习性，由辖区白泽署送达王灵官第三眼零信任审计探头与《非人常住混居证》，纳入天津滨海港社区网格共治。</t>
  </si>
  <si>
    <t xml:space="preserve">天津滨海港老旧小区加装电梯井道基坑 × 「解形之民、五足獸」气机同构体（映射古籍：……「東方有解形之民）</t>
  </si>
  <si>
    <t xml:space="preserve">2026年秋，天津滨海港的老旧小区加装电梯井道基坑连续三夜出现「使頭飛於南海」式的异常记录，工程师最初以为是系统故障，直到白泽署干员比对《拾遺記（拾遺記_卷九·晉時事）》原典，用王灵官第三眼零信任审计探头与「解形之民、五足獸」完成了首次跨时代工单会签。</t>
  </si>
  <si>
    <t xml:space="preserve">白鱉瘕</t>
  </si>
  <si>
    <r>
      <rPr>
        <sz val="9"/>
        <color rgb="FF1F2937"/>
        <rFont val="Microsoft YaHei"/>
        <family val="0"/>
        <charset val="1"/>
      </rPr>
      <t xml:space="preserve">HW-0474</t>
    </r>
    <r>
      <rPr>
        <sz val="9"/>
        <color rgb="FF1F2937"/>
        <rFont val="Noto Sans CJK SC"/>
        <family val="2"/>
      </rPr>
      <t xml:space="preserve">《搜神後記（搜神後記</t>
    </r>
    <r>
      <rPr>
        <sz val="9"/>
        <color rgb="FF1F2937"/>
        <rFont val="Microsoft YaHei"/>
        <family val="0"/>
        <charset val="1"/>
      </rPr>
      <t xml:space="preserve">_03·</t>
    </r>
    <r>
      <rPr>
        <sz val="9"/>
        <color rgb="FF1F2937"/>
        <rFont val="Noto Sans CJK SC"/>
        <family val="2"/>
      </rPr>
      <t xml:space="preserve">馬溺消瘕）》</t>
    </r>
  </si>
  <si>
    <t xml:space="preserve">妖精（病虫）</t>
  </si>
  <si>
    <t xml:space="preserve">「……乃試取白馬溺以灌鱉上，須臾便消成數升水。病者乃頓服升餘白馬尿，病豁然愈。」</t>
  </si>
  <si>
    <t xml:space="preserve">【原典气机特征】「……乃試取白馬溺以灌鱉上，須臾便消成數升水」；当横店影视城的城市地下90米深层排涝盾构段处于满负荷运转或节气交接（子午流注）时，其古籍气机拓扑被激活显化。</t>
  </si>
  <si>
    <t xml:space="preserve">【红尘混居牒移】尊重其「須臾便消成數升水」之古礼习性，由辖区白泽署送达加盖东岳第八司红印的《市政借道牒》与《非人常住混居证》，纳入横店影视城社区网格共治。</t>
  </si>
  <si>
    <t xml:space="preserve">横店影视城城市地下90米深层排涝盾构段 × 「白鱉瘕」气机同构体（映射古籍：……乃試取白馬溺以灌鱉上）</t>
  </si>
  <si>
    <t xml:space="preserve">2026年秋，横店影视城的城市地下90米深层排涝盾构段连续三夜出现「須臾便消成數升水」式的异常记录，工程师最初以为是系统故障，直到白泽署干员比对《搜神後記（搜神後記_03·馬溺消瘕）》原典，用加盖东岳第八司红印的《市政借道牒》与「白鱉瘕」完成了首次跨时代工单会签。</t>
  </si>
  <si>
    <t xml:space="preserve">老書佐化蛇、老鈴下化烏</t>
  </si>
  <si>
    <r>
      <rPr>
        <sz val="9"/>
        <color rgb="FF1F2937"/>
        <rFont val="Microsoft YaHei"/>
        <family val="0"/>
        <charset val="1"/>
      </rPr>
      <t xml:space="preserve">HW-0571</t>
    </r>
    <r>
      <rPr>
        <sz val="9"/>
        <color rgb="FF1F2937"/>
        <rFont val="Noto Sans CJK SC"/>
        <family val="2"/>
      </rPr>
      <t xml:space="preserve">《搜神記（搜神記</t>
    </r>
    <r>
      <rPr>
        <sz val="9"/>
        <color rgb="FF1F2937"/>
        <rFont val="Microsoft YaHei"/>
        <family val="0"/>
        <charset val="1"/>
      </rPr>
      <t xml:space="preserve">_</t>
    </r>
    <r>
      <rPr>
        <sz val="9"/>
        <color rgb="FF1F2937"/>
        <rFont val="Noto Sans CJK SC"/>
        <family val="2"/>
      </rPr>
      <t xml:space="preserve">第</t>
    </r>
    <r>
      <rPr>
        <sz val="9"/>
        <color rgb="FF1F2937"/>
        <rFont val="Microsoft YaHei"/>
        <family val="0"/>
        <charset val="1"/>
      </rPr>
      <t xml:space="preserve">03</t>
    </r>
    <r>
      <rPr>
        <sz val="9"/>
        <color rgb="FF1F2937"/>
        <rFont val="Noto Sans CJK SC"/>
        <family val="2"/>
      </rPr>
      <t xml:space="preserve">卷）》</t>
    </r>
  </si>
  <si>
    <t xml:space="preserve">妖精（人化物）</t>
  </si>
  <si>
    <t xml:space="preserve">「……床上當有一大蛇，銜筆，大小共視，須臾便去。又，烏來入室中，與鷰共鬥，鷰死，烏去。有此三卦。」基大驚曰：「精義之致，乃至於此，幸為占其吉凶。」輅曰：」</t>
  </si>
  <si>
    <t xml:space="preserve">【原典气机特征】「……床上當有一大蛇，大小共視」；当敦煌光电产业园的超高层建筑阻尼器（风振控制球）机房处于满负荷运转或节气交接（子午流注）时，其古籍气机拓扑被激活显化。</t>
  </si>
  <si>
    <t xml:space="preserve">【红尘混居牒移】尊重其「大小共視」之古礼习性，由辖区白泽署送达混元金斗权限剥离沙盒（V4.2）与《非人常住混居证》，纳入敦煌光电产业园社区网格共治。</t>
  </si>
  <si>
    <t xml:space="preserve">敦煌光电产业园超高层建筑阻尼器（风振控制球）机房 × 「老書佐化蛇、老鈴下化烏」气机同构体（映射古籍：……床上當有一大蛇）</t>
  </si>
  <si>
    <t xml:space="preserve">2026年秋，敦煌光电产业园的超高层建筑阻尼器（风振控制球）机房连续三夜出现「大小共視」式的异常记录，工程师最初以为是系统故障，直到白泽署干员比对《搜神記（搜神記_第03卷）》原典，用混元金斗权限剥离沙盒（V4.2）与「老書佐化蛇、老鈴下化烏」完成了首次跨时代工单会签。</t>
  </si>
  <si>
    <t xml:space="preserve">天使酒藏吏（授戴洋符籙）</t>
  </si>
  <si>
    <r>
      <rPr>
        <sz val="9"/>
        <color rgb="FF1F2937"/>
        <rFont val="Microsoft YaHei"/>
        <family val="0"/>
        <charset val="1"/>
      </rPr>
      <t xml:space="preserve">HW-0674</t>
    </r>
    <r>
      <rPr>
        <sz val="9"/>
        <color rgb="FF1F2937"/>
        <rFont val="Noto Sans CJK SC"/>
        <family val="2"/>
      </rPr>
      <t xml:space="preserve">《搜神記（搜神記</t>
    </r>
    <r>
      <rPr>
        <sz val="9"/>
        <color rgb="FF1F2937"/>
        <rFont val="Microsoft YaHei"/>
        <family val="0"/>
        <charset val="1"/>
      </rPr>
      <t xml:space="preserve">_</t>
    </r>
    <r>
      <rPr>
        <sz val="9"/>
        <color rgb="FF1F2937"/>
        <rFont val="Noto Sans CJK SC"/>
        <family val="2"/>
      </rPr>
      <t xml:space="preserve">第</t>
    </r>
    <r>
      <rPr>
        <sz val="9"/>
        <color rgb="FF1F2937"/>
        <rFont val="Microsoft YaHei"/>
        <family val="0"/>
        <charset val="1"/>
      </rPr>
      <t xml:space="preserve">15</t>
    </r>
    <r>
      <rPr>
        <sz val="9"/>
        <color rgb="FF1F2937"/>
        <rFont val="Noto Sans CJK SC"/>
        <family val="2"/>
      </rPr>
      <t xml:space="preserve">卷）》</t>
    </r>
  </si>
  <si>
    <t xml:space="preserve">天神星神（天吏）</t>
  </si>
  <si>
    <t xml:space="preserve">「……將上蓬萊、崑崙、積石、太室、廬、衡等山，既而遣歸。」妙解占候。知吳將亡，托病不仕，還鄉里，行至瀨鄉，經老子祠，皆是洋昔死時所見使處，但不復見昔物耳」</t>
  </si>
  <si>
    <t xml:space="preserve">【原典气机特征】「……將上蓬萊、崑崙、積石、太室、廬、衡等山，既而遣歸」；当文昌航天发射场的特高压直流输电换流阀厅处于满负荷运转或节气交接（子午流注）时，其古籍气机拓扑被激活显化。</t>
  </si>
  <si>
    <t xml:space="preserve">【红尘混居牒移】尊重其「既而遣歸」之古礼习性，由辖区白泽署送达《白泽图鉴App》声波真名广播与《非人常住混居证》，纳入文昌航天发射场社区网格共治。</t>
  </si>
  <si>
    <t xml:space="preserve">文昌航天发射场特高压直流输电换流阀厅 × 「天使酒藏吏」气机同构体（映射古籍：……將上蓬萊、崑崙、積石、太室、廬、）</t>
  </si>
  <si>
    <t xml:space="preserve">2026年秋，文昌航天发射场的特高压直流输电换流阀厅连续三夜出现「既而遣歸」式的异常记录，工程师最初以为是系统故障，直到白泽署干员比对《搜神記（搜神記_第15卷）》原典，用《白泽图鉴App》声波真名广播与「天使酒藏吏」完成了首次跨时代工单会签。</t>
  </si>
  <si>
    <t xml:space="preserve">神君（上郡·壽宮）</t>
  </si>
  <si>
    <r>
      <rPr>
        <sz val="9"/>
        <color rgb="FF1F2937"/>
        <rFont val="Microsoft YaHei"/>
        <family val="0"/>
        <charset val="1"/>
      </rPr>
      <t xml:space="preserve">HW-0774</t>
    </r>
    <r>
      <rPr>
        <sz val="9"/>
        <color rgb="FF1F2937"/>
        <rFont val="Noto Sans CJK SC"/>
        <family val="2"/>
      </rPr>
      <t xml:space="preserve">《漢武故事（漢武故事）》</t>
    </r>
  </si>
  <si>
    <t xml:space="preserve">天神星神（神）</t>
  </si>
  <si>
    <t xml:space="preserve">「……遂迎神君会於甘泉，置之寿宮。神君最貴者大夫，次大禁司命之属，皆從之。非可得見，聞者音與人等。來則肅然風生，帷幄皆動。於北宮設鐘簴羽旗以礼神君。神君」</t>
  </si>
  <si>
    <t xml:space="preserve">【原典气机特征】「……遂迎神君会於甘泉，置之寿宮」；当三亚深海所的合成生物DNA数据存储冷库处于满负荷运转或节气交接（子午流注）时，其古籍气机拓扑被激活显化。</t>
  </si>
  <si>
    <t xml:space="preserve">【红尘混居牒移】尊重其「置之寿宮」之古礼习性，由辖区白泽署送达正一玄坛公平贸易哈希校验码与《非人常住混居证》，纳入三亚深海所社区网格共治。</t>
  </si>
  <si>
    <t xml:space="preserve">三亚深海所合成生物DNA数据存储冷库 × 「神君」气机同构体（映射古籍：……遂迎神君会於甘泉）</t>
  </si>
  <si>
    <t xml:space="preserve">2026年秋，三亚深海所的合成生物DNA数据存储冷库连续三夜出现「置之寿宮」式的异常记录，工程师最初以为是系统故障，直到白泽署干员比对《漢武故事（漢武故事）》原典，用正一玄坛公平贸易哈希校验码与「神君」完成了首次跨时代工单会签。</t>
  </si>
  <si>
    <t xml:space="preserve">蒼蠅傳詔</t>
  </si>
  <si>
    <r>
      <rPr>
        <sz val="9"/>
        <color rgb="FF1F2937"/>
        <rFont val="Microsoft YaHei"/>
        <family val="0"/>
        <charset val="1"/>
      </rPr>
      <t xml:space="preserve">HW-0873</t>
    </r>
    <r>
      <rPr>
        <sz val="9"/>
        <color rgb="FF1F2937"/>
        <rFont val="Noto Sans CJK SC"/>
        <family val="2"/>
      </rPr>
      <t xml:space="preserve">《異苑（異苑</t>
    </r>
    <r>
      <rPr>
        <sz val="9"/>
        <color rgb="FF1F2937"/>
        <rFont val="Microsoft YaHei"/>
        <family val="0"/>
        <charset val="1"/>
      </rPr>
      <t xml:space="preserve">_</t>
    </r>
    <r>
      <rPr>
        <sz val="9"/>
        <color rgb="FF1F2937"/>
        <rFont val="Noto Sans CJK SC"/>
        <family val="2"/>
      </rPr>
      <t xml:space="preserve">卷</t>
    </r>
    <r>
      <rPr>
        <sz val="9"/>
        <color rgb="FF1F2937"/>
        <rFont val="Microsoft YaHei"/>
        <family val="0"/>
        <charset val="1"/>
      </rPr>
      <t xml:space="preserve">03·</t>
    </r>
    <r>
      <rPr>
        <sz val="9"/>
        <color rgb="FF1F2937"/>
        <rFont val="Noto Sans CJK SC"/>
        <family val="2"/>
      </rPr>
      <t xml:space="preserve">蒼蠅傳詔）》</t>
    </r>
  </si>
  <si>
    <t xml:space="preserve">妖精（物怪）</t>
  </si>
  <si>
    <t xml:space="preserve">「……即蠅所集處，輒傳有詔，喧然已遍矣。」</t>
  </si>
  <si>
    <t xml:space="preserve">【原典气机特征】「……即蠅所集處，輒傳有詔」；当哈尔滨工业基地的超大型冷链物流自动化立库处于满负荷运转或节气交接（子午流注）时，其古籍气机拓扑被激活显化。</t>
  </si>
  <si>
    <t xml:space="preserve">【红尘混居牒移】尊重其「輒傳有詔」之古礼习性，由辖区白泽署送达迷谷四照黑理木反光车贴与《非人常住混居证》，纳入哈尔滨工业基地社区网格共治。</t>
  </si>
  <si>
    <t xml:space="preserve">哈尔滨工业基地超大型冷链物流自动化立库 × 「蒼蠅傳詔」气机同构体（映射古籍：……即蠅所集處）</t>
  </si>
  <si>
    <t xml:space="preserve">2026年秋，哈尔滨工业基地的超大型冷链物流自动化立库连续三夜出现「輒傳有詔」式的异常记录，工程师最初以为是系统故障，直到白泽署干员比对《異苑（異苑_卷03·蒼蠅傳詔）》原典，用迷谷四照黑理木反光车贴与「蒼蠅傳詔」完成了首次跨时代工单会签。</t>
  </si>
  <si>
    <t xml:space="preserve">赤莧魅</t>
  </si>
  <si>
    <r>
      <rPr>
        <sz val="9"/>
        <color rgb="FF1F2937"/>
        <rFont val="Microsoft YaHei"/>
        <family val="0"/>
        <charset val="1"/>
      </rPr>
      <t xml:space="preserve">HW-0977</t>
    </r>
    <r>
      <rPr>
        <sz val="9"/>
        <color rgb="FF1F2937"/>
        <rFont val="Noto Sans CJK SC"/>
        <family val="2"/>
      </rPr>
      <t xml:space="preserve">《異苑（異苑</t>
    </r>
    <r>
      <rPr>
        <sz val="9"/>
        <color rgb="FF1F2937"/>
        <rFont val="Microsoft YaHei"/>
        <family val="0"/>
        <charset val="1"/>
      </rPr>
      <t xml:space="preserve">_</t>
    </r>
    <r>
      <rPr>
        <sz val="9"/>
        <color rgb="FF1F2937"/>
        <rFont val="Noto Sans CJK SC"/>
        <family val="2"/>
      </rPr>
      <t xml:space="preserve">卷</t>
    </r>
    <r>
      <rPr>
        <sz val="9"/>
        <color rgb="FF1F2937"/>
        <rFont val="Microsoft YaHei"/>
        <family val="0"/>
        <charset val="1"/>
      </rPr>
      <t xml:space="preserve">08·</t>
    </r>
    <r>
      <rPr>
        <sz val="9"/>
        <color rgb="FF1F2937"/>
        <rFont val="Noto Sans CJK SC"/>
        <family val="2"/>
      </rPr>
      <t xml:space="preserve">赤莧魅）》</t>
    </r>
  </si>
  <si>
    <t xml:space="preserve">妖精（草精）</t>
  </si>
  <si>
    <t xml:space="preserve">「……自雲家在廁北。女於是恆歌謠自得，每至將夕，輒結束去屋後。其家伺候，唯見有一株赤莧，女手指環掛其莧上。芟之而女號泣。經宿遂死。」</t>
  </si>
  <si>
    <t xml:space="preserve">【原典气机特征】「……自雲家在廁北，女於是恆歌謠自得」；当昆明植物研究所的国家级古籍数字化OCR超算节点处于满负荷运转或节气交接（子午流注）时，其古籍气机拓扑被激活显化。</t>
  </si>
  <si>
    <t xml:space="preserve">【采撷与谐振守则】依据「每至將夕」之性，须以《五藏山经》吉玉糈米全息信标进行无损频谱提取；严禁商业掠夺式滥采，否则增益反转。</t>
  </si>
  <si>
    <t xml:space="preserve">昆明植物研究所国家级古籍数字化OCR超算节点 × 「赤莧魅」气机同构体（映射古籍：……自雲家在廁北）</t>
  </si>
  <si>
    <t xml:space="preserve">2026年秋，昆明植物研究所的国家级古籍数字化OCR超算节点连续三夜出现「女於是恆歌謠自得」式的异常记录，工程师最初以为是系统故障，直到白泽署干员比对《異苑（異苑_卷08·赤莧魅）》原典，用《五藏山经》吉玉糈米全息信标与「赤莧魅」完成了首次跨时代工单会签。</t>
  </si>
  <si>
    <t xml:space="preserve">六天魔鬼</t>
  </si>
  <si>
    <r>
      <rPr>
        <sz val="9"/>
        <color rgb="FF1F2937"/>
        <rFont val="Microsoft YaHei"/>
        <family val="0"/>
        <charset val="1"/>
      </rPr>
      <t xml:space="preserve">HW-1092</t>
    </r>
    <r>
      <rPr>
        <sz val="9"/>
        <color rgb="FF1F2937"/>
        <rFont val="Noto Sans CJK SC"/>
        <family val="2"/>
      </rPr>
      <t xml:space="preserve">《神仙傳（神仙傳</t>
    </r>
    <r>
      <rPr>
        <sz val="9"/>
        <color rgb="FF1F2937"/>
        <rFont val="Microsoft YaHei"/>
        <family val="0"/>
        <charset val="1"/>
      </rPr>
      <t xml:space="preserve">_</t>
    </r>
    <r>
      <rPr>
        <sz val="9"/>
        <color rgb="FF1F2937"/>
        <rFont val="Noto Sans CJK SC"/>
        <family val="2"/>
      </rPr>
      <t xml:space="preserve">卷五</t>
    </r>
    <r>
      <rPr>
        <sz val="9"/>
        <color rgb="FF1F2937"/>
        <rFont val="Microsoft YaHei"/>
        <family val="0"/>
        <charset val="1"/>
      </rPr>
      <t xml:space="preserve">·</t>
    </r>
    <r>
      <rPr>
        <sz val="9"/>
        <color rgb="FF1F2937"/>
        <rFont val="Noto Sans CJK SC"/>
        <family val="2"/>
      </rPr>
      <t xml:space="preserve">張道陵）》</t>
    </r>
  </si>
  <si>
    <t xml:space="preserve">人鬼厉鬼（鬼群）</t>
  </si>
  <si>
    <t xml:space="preserve">「天師張道陵，字輔漢，沛國豐縣人也。本太學書生，博采五經。晚乃嘆曰：「此無益於年命。」遂學長生之道，得黃帝九鼎丹經，修煉於繁陽山，丹成服之，能坐在立亡，」</t>
  </si>
  <si>
    <t xml:space="preserve">【原典气机特征】「天師張道陵，字輔漢」；当雄安地下管廊的高铁动车组夜行检修库处于满负荷运转或节气交接（子午流注）时，其古籍气机拓扑被激活显化。</t>
  </si>
  <si>
    <t xml:space="preserve">【红尘混居牒移】尊重其「字輔漢」之古礼习性，由辖区白泽署送达守庚申数字断舍离清道夫脚本与《非人常住混居证》，纳入雄安地下管廊社区网格共治。</t>
  </si>
  <si>
    <t xml:space="preserve">雄安地下管廊高铁动车组夜行检修库 × 「六天魔鬼」气机同构体（映射古籍：天師張道陵）</t>
  </si>
  <si>
    <t xml:space="preserve">2026年秋，雄安地下管廊的高铁动车组夜行检修库连续三夜出现「字輔漢」式的异常记录，工程师最初以为是系统故障，直到白泽署干员比对《神仙傳（神仙傳_卷五·張道陵）》原典，用守庚申数字断舍离清道夫脚本与「六天魔鬼」完成了首次跨时代工单会签。</t>
  </si>
  <si>
    <t xml:space="preserve">黃石公（圯上老父）</t>
  </si>
  <si>
    <r>
      <rPr>
        <sz val="9"/>
        <color rgb="FF1F2937"/>
        <rFont val="Microsoft YaHei"/>
        <family val="0"/>
        <charset val="1"/>
      </rPr>
      <t xml:space="preserve">HW-1188</t>
    </r>
    <r>
      <rPr>
        <sz val="9"/>
        <color rgb="FF1F2937"/>
        <rFont val="Noto Sans CJK SC"/>
        <family val="2"/>
      </rPr>
      <t xml:space="preserve">《論衡（論衡</t>
    </r>
    <r>
      <rPr>
        <sz val="9"/>
        <color rgb="FF1F2937"/>
        <rFont val="Microsoft YaHei"/>
        <family val="0"/>
        <charset val="1"/>
      </rPr>
      <t xml:space="preserve">_64</t>
    </r>
    <r>
      <rPr>
        <sz val="9"/>
        <color rgb="FF1F2937"/>
        <rFont val="Noto Sans CJK SC"/>
        <family val="2"/>
      </rPr>
      <t xml:space="preserve">）》</t>
    </r>
  </si>
  <si>
    <r>
      <rPr>
        <sz val="9"/>
        <color rgb="FF1F2937"/>
        <rFont val="Microsoft YaHei"/>
        <family val="0"/>
        <charset val="1"/>
      </rPr>
      <t xml:space="preserve">TW-0751 </t>
    </r>
    <r>
      <rPr>
        <sz val="9"/>
        <color rgb="FF1F2937"/>
        <rFont val="Noto Sans CJK SC"/>
        <family val="2"/>
      </rPr>
      <t xml:space="preserve">黃石公（圯上老父）（獨異志）；</t>
    </r>
    <r>
      <rPr>
        <sz val="9"/>
        <color rgb="FF1F2937"/>
        <rFont val="Microsoft YaHei"/>
        <family val="0"/>
        <charset val="1"/>
      </rPr>
      <t xml:space="preserve">SL-0790 </t>
    </r>
    <r>
      <rPr>
        <sz val="9"/>
        <color rgb="FF1F2937"/>
        <rFont val="Noto Sans CJK SC"/>
        <family val="2"/>
      </rPr>
      <t xml:space="preserve">黃石公（集異記</t>
    </r>
    <r>
      <rPr>
        <sz val="9"/>
        <color rgb="FF1F2937"/>
        <rFont val="Microsoft YaHei"/>
        <family val="0"/>
        <charset val="1"/>
      </rPr>
      <t xml:space="preserve">·</t>
    </r>
    <r>
      <rPr>
        <sz val="9"/>
        <color rgb="FF1F2937"/>
        <rFont val="Noto Sans CJK SC"/>
        <family val="2"/>
      </rPr>
      <t xml:space="preserve">广记）</t>
    </r>
  </si>
  <si>
    <t xml:space="preserve">仙真（仙人）</t>
  </si>
  <si>
    <t xml:space="preserve">「……谷成山下黃石即我也。」遂去，無他言，弗復見。旦日視其書，乃《太公兵法》也。良因異之，習讀之。」</t>
  </si>
  <si>
    <t xml:space="preserve">【原典气机特征】「……谷成山下黃石即我也，」遂去」；当上海陆家嘴的三甲医院核磁共振（MRI）屏蔽室处于满负荷运转或节气交接（子午流注）时，其古籍气机拓扑被激活显化。</t>
  </si>
  <si>
    <t xml:space="preserve">【采撷与谐振守则】依据「無他言」之性，须以激光微雕桃木探针（无尘车间级）进行无损频谱提取；严禁商业掠夺式滥采，否则增益反转。</t>
  </si>
  <si>
    <t xml:space="preserve">上海陆家嘴三甲医院核磁共振（MRI）屏蔽室 × 「黃石公」气机同构体（映射古籍：……谷成山下黃石即我也）</t>
  </si>
  <si>
    <t xml:space="preserve">2026年秋，上海陆家嘴的三甲医院核磁共振（MRI）屏蔽室连续三夜出现「」遂去」式的异常记录，工程师最初以为是系统故障，直到白泽署干员比对《論衡（論衡_64）》原典，用激光微雕桃木探针（无尘车间级）与「黃石公」完成了首次跨时代工单会签。</t>
  </si>
  <si>
    <t xml:space="preserve">丹魚（血塗足渉水）</t>
  </si>
  <si>
    <r>
      <rPr>
        <sz val="9"/>
        <color rgb="FF1F2937"/>
        <rFont val="Microsoft YaHei"/>
        <family val="0"/>
        <charset val="1"/>
      </rPr>
      <t xml:space="preserve">HW-1289</t>
    </r>
    <r>
      <rPr>
        <sz val="9"/>
        <color rgb="FF1F2937"/>
        <rFont val="Noto Sans CJK SC"/>
        <family val="2"/>
      </rPr>
      <t xml:space="preserve">《述異記（述異記</t>
    </r>
    <r>
      <rPr>
        <sz val="9"/>
        <color rgb="FF1F2937"/>
        <rFont val="Microsoft YaHei"/>
        <family val="0"/>
        <charset val="1"/>
      </rPr>
      <t xml:space="preserve">·</t>
    </r>
    <r>
      <rPr>
        <sz val="9"/>
        <color rgb="FF1F2937"/>
        <rFont val="Noto Sans CJK SC"/>
        <family val="2"/>
      </rPr>
      <t xml:space="preserve">巻下）》</t>
    </r>
  </si>
  <si>
    <t xml:space="preserve">异兽神兽（灵鱼）</t>
  </si>
  <si>
    <t xml:space="preserve">「龍巣山下有丹水水中有丹魚欲捕其魚伺魚之浮出水有赤光如火網取割其血塗足可渉水如履平地宋武帝廣郡獻白孔雀以爲中瑞」</t>
  </si>
  <si>
    <t xml:space="preserve">【原典气机特征】「龍巣山下有丹水水中有丹魚欲捕其魚伺魚之浮出水有赤光如火網取割其血塗足可渉水如履平地宋武帝廣郡獻白孔雀以爲中瑞，龍巣山下有丹水水中有丹魚欲捕其魚伺魚之浮出水有赤光如火網取割其血塗足可渉水如履平地宋武帝廣郡獻白孔雀以爲中瑞」；当深圳粤海街道的高频量化私募基金FPGA撮合网关处于满负荷运转或节气交接（子午流注）时，其古籍气机拓扑被激活显化。</t>
  </si>
  <si>
    <t xml:space="preserve">【采撷与谐振守则】依据「龍巣山下有丹水水中有丹魚欲捕其魚伺魚之浮出水有赤光如火網取割其血塗足可渉水如履平地宋武帝廣郡獻白孔雀以爲中瑞」之性，须以灌江口细犬底层数据包嗅探器进行无损频谱提取；严禁商业掠夺式滥采，否则增益反转。</t>
  </si>
  <si>
    <t xml:space="preserve">深圳粤海街道高频量化私募基金FPGA撮合网关 × 「丹魚」气机同构体（映射古籍：龍巣山下有丹水水中有丹魚欲捕其魚伺魚）</t>
  </si>
  <si>
    <t xml:space="preserve">2026年秋，深圳粤海街道的高频量化私募基金FPGA撮合网关连续三夜出现「龍巣山下有丹水水中有丹魚欲捕其魚伺魚之浮出水」式的异常记录，工程师最初以为是系统故障，直到白泽署干员比对《述異記（述異記·巻下）》原典，用灌江口细犬底层数据包嗅探器与「丹魚」完成了首次跨时代工单会签。</t>
  </si>
  <si>
    <t xml:space="preserve">赤蛾兩頭（龍也）</t>
  </si>
  <si>
    <r>
      <rPr>
        <sz val="9"/>
        <color rgb="FF1F2937"/>
        <rFont val="Microsoft YaHei"/>
        <family val="0"/>
        <charset val="1"/>
      </rPr>
      <t xml:space="preserve">BZ-0035</t>
    </r>
    <r>
      <rPr>
        <sz val="9"/>
        <color rgb="FF1F2937"/>
        <rFont val="Noto Sans CJK SC"/>
        <family val="2"/>
      </rPr>
      <t xml:space="preserve">《白澤圖</t>
    </r>
    <r>
      <rPr>
        <sz val="9"/>
        <color rgb="FF1F2937"/>
        <rFont val="Microsoft YaHei"/>
        <family val="0"/>
        <charset val="1"/>
      </rPr>
      <t xml:space="preserve">·</t>
    </r>
    <r>
      <rPr>
        <sz val="9"/>
        <color rgb="FF1F2937"/>
        <rFont val="Noto Sans CJK SC"/>
        <family val="2"/>
      </rPr>
      <t xml:space="preserve">太平御覽 </t>
    </r>
    <r>
      <rPr>
        <sz val="9"/>
        <color rgb="FF1F2937"/>
        <rFont val="Microsoft YaHei"/>
        <family val="0"/>
        <charset val="1"/>
      </rPr>
      <t xml:space="preserve">0951</t>
    </r>
    <r>
      <rPr>
        <sz val="9"/>
        <color rgb="FF1F2937"/>
        <rFont val="Noto Sans CJK SC"/>
        <family val="2"/>
      </rPr>
      <t xml:space="preserve">》</t>
    </r>
  </si>
  <si>
    <t xml:space="preserve">见载于05b_白泽图主表（已入库标准原型）</t>
  </si>
  <si>
    <t xml:space="preserve">异兽神兽（龙化虫）</t>
  </si>
  <si>
    <t xml:space="preserve">「赤蛾兩頭而白翼者，龍也。殺之立死矣。」</t>
  </si>
  <si>
    <t xml:space="preserve">【原典气机特征】「赤蛾兩頭而白翼者，殺之立死矣」；当重庆解放碑的短视频平台算法推荐冷启动池处于满负荷运转或节气交接（子午流注）时，其古籍气机拓扑被激活显化。</t>
  </si>
  <si>
    <t xml:space="preserve">【红尘混居牒移】尊重其「殺之立死矣」之古礼习性，由辖区白泽署送达黄庭内景二十四神归位脉冲仪与《非人常住混居证》，纳入重庆解放碑社区网格共治。</t>
  </si>
  <si>
    <t xml:space="preserve">重庆解放碑短视频平台算法推荐冷启动池 × 「赤蛾兩頭」气机同构体（映射古籍：赤蛾兩頭而白翼者）</t>
  </si>
  <si>
    <t xml:space="preserve">2026年秋，重庆解放碑的短视频平台算法推荐冷启动池连续三夜出现「殺之立死矣」式的异常记录，工程师最初以为是系统故障，直到白泽署干员比对《白澤圖·太平御覽 0951》原典，用黄庭内景二十四神归位脉冲仪与「赤蛾兩頭」完成了首次跨时代工单会签。</t>
  </si>
  <si>
    <t xml:space="preserve">人面猴鬼（楊羨）</t>
  </si>
  <si>
    <r>
      <rPr>
        <sz val="9"/>
        <color rgb="FF1F2937"/>
        <rFont val="Microsoft YaHei"/>
        <family val="0"/>
        <charset val="1"/>
      </rPr>
      <t xml:space="preserve">TW-0096</t>
    </r>
    <r>
      <rPr>
        <sz val="9"/>
        <color rgb="FF1F2937"/>
        <rFont val="Noto Sans CJK SC"/>
        <family val="2"/>
      </rPr>
      <t xml:space="preserve">《廣古今五行記（太平廣記</t>
    </r>
    <r>
      <rPr>
        <sz val="9"/>
        <color rgb="FF1F2937"/>
        <rFont val="Microsoft YaHei"/>
        <family val="0"/>
        <charset val="1"/>
      </rPr>
      <t xml:space="preserve">·</t>
    </r>
    <r>
      <rPr>
        <sz val="9"/>
        <color rgb="FF1F2937"/>
        <rFont val="Noto Sans CJK SC"/>
        <family val="2"/>
      </rPr>
      <t xml:space="preserve">卷第</t>
    </r>
    <r>
      <rPr>
        <sz val="9"/>
        <color rgb="FF1F2937"/>
        <rFont val="Microsoft YaHei"/>
        <family val="0"/>
        <charset val="1"/>
      </rPr>
      <t xml:space="preserve">318·</t>
    </r>
    <r>
      <rPr>
        <sz val="9"/>
        <color rgb="FF1F2937"/>
        <rFont val="Noto Sans CJK SC"/>
        <family val="2"/>
      </rPr>
      <t xml:space="preserve">楊羨）》</t>
    </r>
  </si>
  <si>
    <t xml:space="preserve">见载于06_唐五代主表（已入库标准原型）</t>
  </si>
  <si>
    <t xml:space="preserve">人鬼厉鬼（魅）</t>
  </si>
  <si>
    <t xml:space="preserve">「……見鬼跳出，撫掌大笑。鬼去，羨始悟。視婦成十餘段，婦妊身殆六月，腹內兒發已生，羨惋痛而死。」</t>
  </si>
  <si>
    <t xml:space="preserve">【原典气机特征】「……見鬼跳出，撫掌大笑」；当杭州西溪科创园的全固态锂电池隔膜产线处于满负荷运转或节气交接（子午流注）时，其古籍气机拓扑被激活显化。</t>
  </si>
  <si>
    <t xml:space="preserve">【红尘混居牒移】尊重其「撫掌大笑」之古礼习性，由辖区白泽署送达朱襄氏五弦降燥低频泛音列与《非人常住混居证》，纳入杭州西溪科创园社区网格共治。</t>
  </si>
  <si>
    <t xml:space="preserve">杭州西溪科创园全固态锂电池隔膜产线 × 「人面猴鬼」气机同构体（映射古籍：……見鬼跳出）</t>
  </si>
  <si>
    <t xml:space="preserve">2026年秋，杭州西溪科创园的全固态锂电池隔膜产线连续三夜出现「撫掌大笑」式的异常记录，工程师最初以为是系统故障，直到白泽署干员比对《廣古今五行記（太平廣記·卷第318·楊羨）》原典，用朱襄氏五弦降燥低频泛音列与「人面猴鬼」完成了首次跨时代工单会签。</t>
  </si>
  <si>
    <t xml:space="preserve">試煉幻境（金甲大將軍、牛頭獄卒、閻羅王）</t>
  </si>
  <si>
    <r>
      <rPr>
        <sz val="9"/>
        <color rgb="FF1F2937"/>
        <rFont val="Microsoft YaHei"/>
        <family val="0"/>
        <charset val="1"/>
      </rPr>
      <t xml:space="preserve">TW-0195</t>
    </r>
    <r>
      <rPr>
        <sz val="9"/>
        <color rgb="FF1F2937"/>
        <rFont val="Noto Sans CJK SC"/>
        <family val="2"/>
      </rPr>
      <t xml:space="preserve">《玄怪錄（玄怪錄</t>
    </r>
    <r>
      <rPr>
        <sz val="9"/>
        <color rgb="FF1F2937"/>
        <rFont val="Microsoft YaHei"/>
        <family val="0"/>
        <charset val="1"/>
      </rPr>
      <t xml:space="preserve">_</t>
    </r>
    <r>
      <rPr>
        <sz val="9"/>
        <color rgb="FF1F2937"/>
        <rFont val="Noto Sans CJK SC"/>
        <family val="2"/>
      </rPr>
      <t xml:space="preserve">卷</t>
    </r>
    <r>
      <rPr>
        <sz val="9"/>
        <color rgb="FF1F2937"/>
        <rFont val="Microsoft YaHei"/>
        <family val="0"/>
        <charset val="1"/>
      </rPr>
      <t xml:space="preserve">1·</t>
    </r>
    <r>
      <rPr>
        <sz val="9"/>
        <color rgb="FF1F2937"/>
        <rFont val="Noto Sans CJK SC"/>
        <family val="2"/>
      </rPr>
      <t xml:space="preserve">杜子春）》</t>
    </r>
  </si>
  <si>
    <r>
      <rPr>
        <sz val="9"/>
        <color rgb="FF1F2937"/>
        <rFont val="Microsoft YaHei"/>
        <family val="0"/>
        <charset val="1"/>
      </rPr>
      <t xml:space="preserve">TW-0194 </t>
    </r>
    <r>
      <rPr>
        <sz val="9"/>
        <color rgb="FF1F2937"/>
        <rFont val="Noto Sans CJK SC"/>
        <family val="2"/>
      </rPr>
      <t xml:space="preserve">雲臺峰煉丹道士（杜子春之老人）；</t>
    </r>
    <r>
      <rPr>
        <sz val="9"/>
        <color rgb="FF1F2937"/>
        <rFont val="Microsoft YaHei"/>
        <family val="0"/>
        <charset val="1"/>
      </rPr>
      <t xml:space="preserve">SL-2715 </t>
    </r>
    <r>
      <rPr>
        <sz val="9"/>
        <color rgb="FF1F2937"/>
        <rFont val="Noto Sans CJK SC"/>
        <family val="2"/>
      </rPr>
      <t xml:space="preserve">閻羅王林（林衡）（夷堅丙志卷一）；</t>
    </r>
    <r>
      <rPr>
        <sz val="9"/>
        <color rgb="FF1F2937"/>
        <rFont val="Microsoft YaHei"/>
        <family val="0"/>
        <charset val="1"/>
      </rPr>
      <t xml:space="preserve">SL-277</t>
    </r>
  </si>
  <si>
    <t xml:space="preserve">冥界鬼神（幻境冥府）</t>
  </si>
  <si>
    <t xml:space="preserve">「……俄而猛虎、毒龍、狻猊、獅子、腹蛇萬計，哮吼拿攫而爭前，欲搏噬，或跳過其上。子春神色不動。有頃而散。既而大雨滂澍，雷電晦暝，火輪走其左右，電光掣其前」</t>
  </si>
  <si>
    <t xml:space="preserve">【原典气机特征】「……俄而猛虎、毒龍、狻猊、獅子、腹蛇萬計，哮吼拿攫而爭前」；当北京中关村的24小时无人值守智慧药房处于满负荷运转或节气交接（子午流注）时，其古籍气机拓扑被激活显化。</t>
  </si>
  <si>
    <t xml:space="preserve">【红尘混居牒移】尊重其「哮吼拿攫而爭前」之古礼习性，由辖区白泽署送达王灵官第三眼零信任审计探头与《非人常住混居证》，纳入北京中关村社区网格共治。</t>
  </si>
  <si>
    <t xml:space="preserve">北京中关村24小时无人值守智慧药房 × 「試煉幻境」气机同构体（映射古籍：……俄而猛虎、毒龍、狻猊、獅子、腹蛇）</t>
  </si>
  <si>
    <t xml:space="preserve">2026年秋，北京中关村的24小时无人值守智慧药房连续三夜出现「哮吼拿攫而爭前」式的异常记录，工程师最初以为是系统故障，直到白泽署干员比对《玄怪錄（玄怪錄_卷1·杜子春）》原典，用王灵官第三眼零信任审计探头与「試煉幻境」完成了首次跨时代工单会签。</t>
  </si>
  <si>
    <t xml:space="preserve">送婚虎（葉令女）</t>
  </si>
  <si>
    <r>
      <rPr>
        <sz val="9"/>
        <color rgb="FF1F2937"/>
        <rFont val="Microsoft YaHei"/>
        <family val="0"/>
        <charset val="1"/>
      </rPr>
      <t xml:space="preserve">TW-0288</t>
    </r>
    <r>
      <rPr>
        <sz val="9"/>
        <color rgb="FF1F2937"/>
        <rFont val="Noto Sans CJK SC"/>
        <family val="2"/>
      </rPr>
      <t xml:space="preserve">《續玄怪錄（續玄怪錄</t>
    </r>
    <r>
      <rPr>
        <sz val="9"/>
        <color rgb="FF1F2937"/>
        <rFont val="Microsoft YaHei"/>
        <family val="0"/>
        <charset val="1"/>
      </rPr>
      <t xml:space="preserve">·</t>
    </r>
    <r>
      <rPr>
        <sz val="9"/>
        <color rgb="FF1F2937"/>
        <rFont val="Noto Sans CJK SC"/>
        <family val="2"/>
      </rPr>
      <t xml:space="preserve">葉令女）》</t>
    </r>
  </si>
  <si>
    <t xml:space="preserve">异兽神兽（灵虎）</t>
  </si>
  <si>
    <t xml:space="preserve">「其吉晨，元方適到。會武昌戍邊兵亦止其縣。縣隘，天雨甚，元方無所容，徑往縣東十二里佛舍。舍西北隅有若小獸號鳴者，出火視之，乃三虎子，目猶未開。以其小，未」</t>
  </si>
  <si>
    <t xml:space="preserve">【原典气机特征】「其吉晨，元方適到」；当成都天府软件园的民航万米高空气象相控阵雷达处于满负荷运转或节气交接（子午流注）时，其古籍气机拓扑被激活显化。</t>
  </si>
  <si>
    <t xml:space="preserve">【红尘混居牒移】尊重其「元方適到」之古礼习性，由辖区白泽署送达加盖东岳第八司红印的《市政借道牒》与《非人常住混居证》，纳入成都天府软件园社区网格共治。</t>
  </si>
  <si>
    <t xml:space="preserve">成都天府软件园民航万米高空气象相控阵雷达 × 「送婚虎」气机同构体（映射古籍：其吉晨）</t>
  </si>
  <si>
    <t xml:space="preserve">2026年秋，成都天府软件园的民航万米高空气象相控阵雷达连续三夜出现「元方適到」式的异常记录，工程师最初以为是系统故障，直到白泽署干员比对《續玄怪錄（續玄怪錄·葉令女）》原典，用加盖东岳第八司红印的《市政借道牒》与「送婚虎」完成了首次跨时代工单会签。</t>
  </si>
  <si>
    <t xml:space="preserve">費雞師（目赤無黑睛）</t>
  </si>
  <si>
    <r>
      <rPr>
        <sz val="9"/>
        <color rgb="FF1F2937"/>
        <rFont val="Microsoft YaHei"/>
        <family val="0"/>
        <charset val="1"/>
      </rPr>
      <t xml:space="preserve">TW-0388</t>
    </r>
    <r>
      <rPr>
        <sz val="9"/>
        <color rgb="FF1F2937"/>
        <rFont val="Noto Sans CJK SC"/>
        <family val="2"/>
      </rPr>
      <t xml:space="preserve">《酉陽雜俎（酉陽雜俎</t>
    </r>
    <r>
      <rPr>
        <sz val="9"/>
        <color rgb="FF1F2937"/>
        <rFont val="Microsoft YaHei"/>
        <family val="0"/>
        <charset val="1"/>
      </rPr>
      <t xml:space="preserve">_</t>
    </r>
    <r>
      <rPr>
        <sz val="9"/>
        <color rgb="FF1F2937"/>
        <rFont val="Noto Sans CJK SC"/>
        <family val="2"/>
      </rPr>
      <t xml:space="preserve">卷五</t>
    </r>
    <r>
      <rPr>
        <sz val="9"/>
        <color rgb="FF1F2937"/>
        <rFont val="Microsoft YaHei"/>
        <family val="0"/>
        <charset val="1"/>
      </rPr>
      <t xml:space="preserve">·</t>
    </r>
    <r>
      <rPr>
        <sz val="9"/>
        <color rgb="FF1F2937"/>
        <rFont val="Noto Sans CJK SC"/>
        <family val="2"/>
      </rPr>
      <t xml:space="preserve">怪術）》</t>
    </r>
  </si>
  <si>
    <r>
      <rPr>
        <sz val="9"/>
        <color rgb="FF1F2937"/>
        <rFont val="Microsoft YaHei"/>
        <family val="0"/>
        <charset val="1"/>
      </rPr>
      <t xml:space="preserve">SL-1701 </t>
    </r>
    <r>
      <rPr>
        <sz val="9"/>
        <color rgb="FF1F2937"/>
        <rFont val="Noto Sans CJK SC"/>
        <family val="2"/>
      </rPr>
      <t xml:space="preserve">費雞師（戎幕閒談</t>
    </r>
    <r>
      <rPr>
        <sz val="9"/>
        <color rgb="FF1F2937"/>
        <rFont val="Microsoft YaHei"/>
        <family val="0"/>
        <charset val="1"/>
      </rPr>
      <t xml:space="preserve">·</t>
    </r>
    <r>
      <rPr>
        <sz val="9"/>
        <color rgb="FF1F2937"/>
        <rFont val="Noto Sans CJK SC"/>
        <family val="2"/>
      </rPr>
      <t xml:space="preserve">宋辽金批）</t>
    </r>
  </si>
  <si>
    <t xml:space="preserve">异人异国（术士）</t>
  </si>
  <si>
    <t xml:space="preserve">「蜀有費雞師，目赤無黑睛，本濮人也。成式長慶初見之，已年七十餘。或為人解災，必用一雞設祭於庭，又取江石如雞卵，令疾者握之，乃踏步作氣虛叱，雞旋轉而死，石」</t>
  </si>
  <si>
    <t xml:space="preserve">【原典气机特征】「蜀有費雞師，目赤無黑睛」；当武汉光谷的智能网联汽车毫米波雷达测试场处于满负荷运转或节气交接（子午流注）时，其古籍气机拓扑被激活显化。</t>
  </si>
  <si>
    <t xml:space="preserve">【红尘混居牒移】尊重其「目赤無黑睛」之古礼习性，由辖区白泽署送达混元金斗权限剥离沙盒（V4.2）与《非人常住混居证》，纳入武汉光谷社区网格共治。</t>
  </si>
  <si>
    <t xml:space="preserve">武汉光谷智能网联汽车毫米波雷达测试场 × 「費雞師」气机同构体（映射古籍：蜀有費雞師）</t>
  </si>
  <si>
    <t xml:space="preserve">2026年秋，武汉光谷的智能网联汽车毫米波雷达测试场连续三夜出现「目赤無黑睛」式的异常记录，工程师最初以为是系统故障，直到白泽署干员比对《酉陽雜俎（酉陽雜俎_卷五·怪術）》原典，用混元金斗权限剥离沙盒（V4.2）与「費雞師」完成了首次跨时代工单会签。</t>
  </si>
  <si>
    <t xml:space="preserve">古冢機關（箭、木人運劍、流沙）</t>
  </si>
  <si>
    <r>
      <rPr>
        <sz val="9"/>
        <color rgb="FF1F2937"/>
        <rFont val="Microsoft YaHei"/>
        <family val="0"/>
        <charset val="1"/>
      </rPr>
      <t xml:space="preserve">TW-0495</t>
    </r>
    <r>
      <rPr>
        <sz val="9"/>
        <color rgb="FF1F2937"/>
        <rFont val="Noto Sans CJK SC"/>
        <family val="2"/>
      </rPr>
      <t xml:space="preserve">《酉陽雜俎（酉陽雜俎</t>
    </r>
    <r>
      <rPr>
        <sz val="9"/>
        <color rgb="FF1F2937"/>
        <rFont val="Microsoft YaHei"/>
        <family val="0"/>
        <charset val="1"/>
      </rPr>
      <t xml:space="preserve">_</t>
    </r>
    <r>
      <rPr>
        <sz val="9"/>
        <color rgb="FF1F2937"/>
        <rFont val="Noto Sans CJK SC"/>
        <family val="2"/>
      </rPr>
      <t xml:space="preserve">卷十三</t>
    </r>
    <r>
      <rPr>
        <sz val="9"/>
        <color rgb="FF1F2937"/>
        <rFont val="Microsoft YaHei"/>
        <family val="0"/>
        <charset val="1"/>
      </rPr>
      <t xml:space="preserve">·</t>
    </r>
    <r>
      <rPr>
        <sz val="9"/>
        <color rgb="FF1F2937"/>
        <rFont val="Noto Sans CJK SC"/>
        <family val="2"/>
      </rPr>
      <t xml:space="preserve">屍穸）》</t>
    </r>
  </si>
  <si>
    <t xml:space="preserve">附·灵物异植（墓防）</t>
  </si>
  <si>
    <t xml:space="preserve">「……有木人數十，張目運劍，又傷數人。眾以棒擊之，兵仗悉落。四壁各畫兵衛之像。南壁有大漆棺，懸以鐵索，其下金玉珠璣堆集。眾懼，未即掠之。棺兩角忽颯颯風起」</t>
  </si>
  <si>
    <t xml:space="preserve">【原典气机特征】「……有木人數十，張目運劍」；当广州珠江新城的7纳米极紫外光刻机对准光路处于满负荷运转或节气交接（子午流注）时，其古籍气机拓扑被激活显化。</t>
  </si>
  <si>
    <t xml:space="preserve">【红尘混居牒移】尊重其「張目運劍」之古礼习性，由辖区白泽署送达《白泽图鉴App》声波真名广播与《非人常住混居证》，纳入广州珠江新城社区网格共治。</t>
  </si>
  <si>
    <t xml:space="preserve">广州珠江新城7纳米极紫外光刻机对准光路 × 「古冢機關」气机同构体（映射古籍：……有木人數十）</t>
  </si>
  <si>
    <t xml:space="preserve">2026年秋，广州珠江新城的7纳米极紫外光刻机对准光路连续三夜出现「張目運劍」式的异常记录，工程师最初以为是系统故障，直到白泽署干员比对《酉陽雜俎（酉陽雜俎_卷十三·屍穸）》原典，用《白泽图鉴App》声波真名广播与「古冢機關」完成了首次跨时代工单会签。</t>
  </si>
  <si>
    <t xml:space="preserve">濟伯（濟水神·水精床老翁）、吳江使</t>
  </si>
  <si>
    <r>
      <rPr>
        <sz val="9"/>
        <color rgb="FF1F2937"/>
        <rFont val="Microsoft YaHei"/>
        <family val="0"/>
        <charset val="1"/>
      </rPr>
      <t xml:space="preserve">TW-0590</t>
    </r>
    <r>
      <rPr>
        <sz val="9"/>
        <color rgb="FF1F2937"/>
        <rFont val="Noto Sans CJK SC"/>
        <family val="2"/>
      </rPr>
      <t xml:space="preserve">《酉陽雜俎（酉陽雜俎</t>
    </r>
    <r>
      <rPr>
        <sz val="9"/>
        <color rgb="FF1F2937"/>
        <rFont val="Microsoft YaHei"/>
        <family val="0"/>
        <charset val="1"/>
      </rPr>
      <t xml:space="preserve">_</t>
    </r>
    <r>
      <rPr>
        <sz val="9"/>
        <color rgb="FF1F2937"/>
        <rFont val="Noto Sans CJK SC"/>
        <family val="2"/>
      </rPr>
      <t xml:space="preserve">卷十四</t>
    </r>
    <r>
      <rPr>
        <sz val="9"/>
        <color rgb="FF1F2937"/>
        <rFont val="Microsoft YaHei"/>
        <family val="0"/>
        <charset val="1"/>
      </rPr>
      <t xml:space="preserve">·</t>
    </r>
    <r>
      <rPr>
        <sz val="9"/>
        <color rgb="FF1F2937"/>
        <rFont val="Noto Sans CJK SC"/>
        <family val="2"/>
      </rPr>
      <t xml:space="preserve">諾臯記上）》</t>
    </r>
  </si>
  <si>
    <r>
      <rPr>
        <sz val="9"/>
        <color rgb="FF1F2937"/>
        <rFont val="Microsoft YaHei"/>
        <family val="0"/>
        <charset val="1"/>
      </rPr>
      <t xml:space="preserve">TW-0280 </t>
    </r>
    <r>
      <rPr>
        <sz val="9"/>
        <color rgb="FF1F2937"/>
        <rFont val="Noto Sans CJK SC"/>
        <family val="2"/>
      </rPr>
      <t xml:space="preserve">河伯</t>
    </r>
  </si>
  <si>
    <t xml:space="preserve">地祇山川水神（水神）</t>
  </si>
  <si>
    <t xml:space="preserve">「……令吾通問於濟伯。今須過長白，幸君為通之。」仍教敬伯，但於杜林中取樹葉，投之於水，當有人出。敬伯從之，果見人引出。敬伯懼水，其人令敬伯閉目，似入水中」</t>
  </si>
  <si>
    <t xml:space="preserve">【原典气机特征】「……令吾通問於濟伯，今須過長白」；当南京紫金山实验室的共享充电宝城市物联网总控台处于满负荷运转或节气交接（子午流注）时，其古籍气机拓扑被激活显化。</t>
  </si>
  <si>
    <t xml:space="preserve">【红尘混居牒移】尊重其「今須過長白」之古礼习性，由辖区白泽署送达正一玄坛公平贸易哈希校验码与《非人常住混居证》，纳入南京紫金山实验室社区网格共治。</t>
  </si>
  <si>
    <t xml:space="preserve">南京紫金山实验室共享充电宝城市物联网总控台 × 「濟伯」气机同构体（映射古籍：……令吾通問於濟伯）</t>
  </si>
  <si>
    <t xml:space="preserve">2026年秋，南京紫金山实验室的共享充电宝城市物联网总控台连续三夜出现「今須過長白」式的异常记录，工程师最初以为是系统故障，直到白泽署干员比对《酉陽雜俎（酉陽雜俎_卷十四·諾臯記上）》原典，用正一玄坛公平贸易哈希校验码与「濟伯」完成了首次跨时代工单会签。</t>
  </si>
  <si>
    <t xml:space="preserve">鼠王、鼠母（溺一滴成一鼠）</t>
  </si>
  <si>
    <r>
      <rPr>
        <sz val="9"/>
        <color rgb="FF1F2937"/>
        <rFont val="Microsoft YaHei"/>
        <family val="0"/>
        <charset val="1"/>
      </rPr>
      <t xml:space="preserve">TW-0694</t>
    </r>
    <r>
      <rPr>
        <sz val="9"/>
        <color rgb="FF1F2937"/>
        <rFont val="Noto Sans CJK SC"/>
        <family val="2"/>
      </rPr>
      <t xml:space="preserve">《酉陽雜俎（酉陽雜俎</t>
    </r>
    <r>
      <rPr>
        <sz val="9"/>
        <color rgb="FF1F2937"/>
        <rFont val="Microsoft YaHei"/>
        <family val="0"/>
        <charset val="1"/>
      </rPr>
      <t xml:space="preserve">_</t>
    </r>
    <r>
      <rPr>
        <sz val="9"/>
        <color rgb="FF1F2937"/>
        <rFont val="Noto Sans CJK SC"/>
        <family val="2"/>
      </rPr>
      <t xml:space="preserve">續集</t>
    </r>
    <r>
      <rPr>
        <sz val="9"/>
        <color rgb="FF1F2937"/>
        <rFont val="Microsoft YaHei"/>
        <family val="0"/>
        <charset val="1"/>
      </rPr>
      <t xml:space="preserve">_</t>
    </r>
    <r>
      <rPr>
        <sz val="9"/>
        <color rgb="FF1F2937"/>
        <rFont val="Noto Sans CJK SC"/>
        <family val="2"/>
      </rPr>
      <t xml:space="preserve">卷八）》</t>
    </r>
  </si>
  <si>
    <r>
      <rPr>
        <sz val="9"/>
        <color rgb="FF1F2937"/>
        <rFont val="Microsoft YaHei"/>
        <family val="0"/>
        <charset val="1"/>
      </rPr>
      <t xml:space="preserve">SL-4819 </t>
    </r>
    <r>
      <rPr>
        <sz val="9"/>
        <color rgb="FF1F2937"/>
        <rFont val="Noto Sans CJK SC"/>
        <family val="2"/>
      </rPr>
      <t xml:space="preserve">鼠王（群鼠）（雲笈七籤</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113-</t>
    </r>
    <r>
      <rPr>
        <sz val="9"/>
        <color rgb="FF1F2937"/>
        <rFont val="Noto Sans CJK SC"/>
        <family val="2"/>
      </rPr>
      <t xml:space="preserve">下</t>
    </r>
    <r>
      <rPr>
        <sz val="9"/>
        <color rgb="FF1F2937"/>
        <rFont val="Microsoft YaHei"/>
        <family val="0"/>
        <charset val="1"/>
      </rPr>
      <t xml:space="preserve">·</t>
    </r>
    <r>
      <rPr>
        <sz val="9"/>
        <color rgb="FF1F2937"/>
        <rFont val="Noto Sans CJK SC"/>
        <family val="2"/>
      </rPr>
      <t xml:space="preserve">宋辽金批）</t>
    </r>
  </si>
  <si>
    <t xml:space="preserve">妖精（鼠精）</t>
  </si>
  <si>
    <t xml:space="preserve">「……舊說鼠王其溺精一滴成鼠。一說鼠母頭腳似鼠，尾蒼口銳，大如水中者，性畏狗，溺一滴成一鼠。時鼠災多起於鼠母，鼠母所至處，動成萬萬鼠。其肉極美。凡鼠食死」</t>
  </si>
  <si>
    <t xml:space="preserve">【原典气机特征】「……舊說鼠王其溺精一滴成鼠，一說鼠母頭腳似鼠」；当西安曲江新区的数字人民币离线硬件钱包芯片处于满负荷运转或节气交接（子午流注）时，其古籍气机拓扑被激活显化。</t>
  </si>
  <si>
    <t xml:space="preserve">【红尘混居牒移】尊重其「一說鼠母頭腳似鼠」之古礼习性，由辖区白泽署送达迷谷四照黑理木反光车贴与《非人常住混居证》，纳入西安曲江新区社区网格共治。</t>
  </si>
  <si>
    <t xml:space="preserve">西安曲江新区数字人民币离线硬件钱包芯片 × 「鼠王、鼠母」气机同构体（映射古籍：……舊說鼠王其溺精一滴成鼠）</t>
  </si>
  <si>
    <t xml:space="preserve">2026年秋，西安曲江新区的数字人民币离线硬件钱包芯片连续三夜出现「一說鼠母頭腳似鼠」式的异常记录，工程师最初以为是系统故障，直到白泽署干员比对《酉陽雜俎（酉陽雜俎_續集_卷八）》原典，用迷谷四照黑理木反光车贴与「鼠王、鼠母」完成了首次跨时代工单会签。</t>
  </si>
  <si>
    <t xml:space="preserve">石旻（藥活敗魚）</t>
  </si>
  <si>
    <r>
      <rPr>
        <sz val="9"/>
        <color rgb="FF1F2937"/>
        <rFont val="Microsoft YaHei"/>
        <family val="0"/>
        <charset val="1"/>
      </rPr>
      <t xml:space="preserve">TW-0833</t>
    </r>
    <r>
      <rPr>
        <sz val="9"/>
        <color rgb="FF1F2937"/>
        <rFont val="Noto Sans CJK SC"/>
        <family val="2"/>
      </rPr>
      <t xml:space="preserve">《宣室志（宣室志</t>
    </r>
    <r>
      <rPr>
        <sz val="9"/>
        <color rgb="FF1F2937"/>
        <rFont val="Microsoft YaHei"/>
        <family val="0"/>
        <charset val="1"/>
      </rPr>
      <t xml:space="preserve">_</t>
    </r>
    <r>
      <rPr>
        <sz val="9"/>
        <color rgb="FF1F2937"/>
        <rFont val="Noto Sans CJK SC"/>
        <family val="2"/>
      </rPr>
      <t xml:space="preserve">補遺</t>
    </r>
    <r>
      <rPr>
        <sz val="9"/>
        <color rgb="FF1F2937"/>
        <rFont val="Microsoft YaHei"/>
        <family val="0"/>
        <charset val="1"/>
      </rPr>
      <t xml:space="preserve">·</t>
    </r>
    <r>
      <rPr>
        <sz val="9"/>
        <color rgb="FF1F2937"/>
        <rFont val="Noto Sans CJK SC"/>
        <family val="2"/>
      </rPr>
      <t xml:space="preserve">石旻）》</t>
    </r>
  </si>
  <si>
    <r>
      <rPr>
        <sz val="9"/>
        <color rgb="FF1F2937"/>
        <rFont val="Microsoft YaHei"/>
        <family val="0"/>
        <charset val="1"/>
      </rPr>
      <t xml:space="preserve">SL-0558 </t>
    </r>
    <r>
      <rPr>
        <sz val="9"/>
        <color rgb="FF1F2937"/>
        <rFont val="Noto Sans CJK SC"/>
        <family val="2"/>
      </rPr>
      <t xml:space="preserve">石旻（補錄記傳</t>
    </r>
    <r>
      <rPr>
        <sz val="9"/>
        <color rgb="FF1F2937"/>
        <rFont val="Microsoft YaHei"/>
        <family val="0"/>
        <charset val="1"/>
      </rPr>
      <t xml:space="preserve">·</t>
    </r>
    <r>
      <rPr>
        <sz val="9"/>
        <color rgb="FF1F2937"/>
        <rFont val="Noto Sans CJK SC"/>
        <family val="2"/>
      </rPr>
      <t xml:space="preserve">广记）</t>
    </r>
  </si>
  <si>
    <t xml:space="preserve">仙真（方士）</t>
  </si>
  <si>
    <t xml:space="preserve">「有石旻者，不知何許人也。浪跡江湖之間，有年數矣。道術玄妙，殆不可測。長慶中，客於宛陵郡。有雷氏子，常為宣城部將，一日，與友人數輩會飲於郡南別墅，旻亦在」</t>
  </si>
  <si>
    <t xml:space="preserve">【原典气机特征】「有石旻者，不知何許人也」；当苏州工业园区的自动驾驶高精地图OTA服务器处于满负荷运转或节气交接（子午流注）时，其古籍气机拓扑被激活显化。</t>
  </si>
  <si>
    <t xml:space="preserve">【采撷与谐振守则】依据「浪跡江湖之間」之性，须以《五藏山经》吉玉糈米全息信标进行无损频谱提取；严禁商业掠夺式滥采，否则增益反转。</t>
  </si>
  <si>
    <t xml:space="preserve">苏州工业园区自动驾驶高精地图OTA服务器 × 「石旻」气机同构体（映射古籍：有石旻者）</t>
  </si>
  <si>
    <t xml:space="preserve">2026年秋，苏州工业园区的自动驾驶高精地图OTA服务器连续三夜出现「不知何許人也」式的异常记录，工程师最初以为是系统故障，直到白泽署干员比对《宣室志（宣室志_補遺·石旻）》原典，用《五藏山经》吉玉糈米全息信标与「石旻」完成了首次跨时代工单会签。</t>
  </si>
  <si>
    <t xml:space="preserve">霅溪水中扶尚書者</t>
  </si>
  <si>
    <r>
      <rPr>
        <sz val="9"/>
        <color rgb="FF1F2937"/>
        <rFont val="Microsoft YaHei"/>
        <family val="0"/>
        <charset val="1"/>
      </rPr>
      <t xml:space="preserve">TW-0926</t>
    </r>
    <r>
      <rPr>
        <sz val="9"/>
        <color rgb="FF1F2937"/>
        <rFont val="Noto Sans CJK SC"/>
        <family val="2"/>
      </rPr>
      <t xml:space="preserve">《廣異記（廣異記</t>
    </r>
    <r>
      <rPr>
        <sz val="9"/>
        <color rgb="FF1F2937"/>
        <rFont val="Microsoft YaHei"/>
        <family val="0"/>
        <charset val="1"/>
      </rPr>
      <t xml:space="preserve">·</t>
    </r>
    <r>
      <rPr>
        <sz val="9"/>
        <color rgb="FF1F2937"/>
        <rFont val="Noto Sans CJK SC"/>
        <family val="2"/>
      </rPr>
      <t xml:space="preserve">蘇颋）》</t>
    </r>
  </si>
  <si>
    <t xml:space="preserve">人鬼厉鬼（水神）</t>
  </si>
  <si>
    <t xml:space="preserve">「……直至潭底。水中有令人扶尚書出，遂冉冉至水上，颋遂得濟。」</t>
  </si>
  <si>
    <t xml:space="preserve">【原典气机特征】「……直至潭底，水中有令人扶尚書出」；当合肥量子科学岛的柔性OLED折叠屏老化测试暗室处于满负荷运转或节气交接（子午流注）时，其古籍气机拓扑被激活显化。</t>
  </si>
  <si>
    <t xml:space="preserve">【红尘混居牒移】尊重其「水中有令人扶尚書出」之古礼习性，由辖区白泽署送达守庚申数字断舍离清道夫脚本与《非人常住混居证》，纳入合肥量子科学岛社区网格共治。</t>
  </si>
  <si>
    <t xml:space="preserve">合肥量子科学岛柔性OLED折叠屏老化测试暗室 × 「霅溪水中扶尚書者」气机同构体（映射古籍：……直至潭底）</t>
  </si>
  <si>
    <t xml:space="preserve">2026年秋，合肥量子科学岛的柔性OLED折叠屏老化测试暗室连续三夜出现「水中有令人扶尚書出」式的异常记录，工程师最初以为是系统故障，直到白泽署干员比对《廣異記（廣異記·蘇颋）》原典，用守庚申数字断舍离清道夫脚本与「霅溪水中扶尚書者」完成了首次跨时代工单会签。</t>
  </si>
  <si>
    <t xml:space="preserve">李光遠（死後成旱書）</t>
  </si>
  <si>
    <r>
      <rPr>
        <sz val="9"/>
        <color rgb="FF1F2937"/>
        <rFont val="Microsoft YaHei"/>
        <family val="0"/>
        <charset val="1"/>
      </rPr>
      <t xml:space="preserve">TW-1021</t>
    </r>
    <r>
      <rPr>
        <sz val="9"/>
        <color rgb="FF1F2937"/>
        <rFont val="Noto Sans CJK SC"/>
        <family val="2"/>
      </rPr>
      <t xml:space="preserve">《廣異記（廣異記</t>
    </r>
    <r>
      <rPr>
        <sz val="9"/>
        <color rgb="FF1F2937"/>
        <rFont val="Microsoft YaHei"/>
        <family val="0"/>
        <charset val="1"/>
      </rPr>
      <t xml:space="preserve">·</t>
    </r>
    <r>
      <rPr>
        <sz val="9"/>
        <color rgb="FF1F2937"/>
        <rFont val="Noto Sans CJK SC"/>
        <family val="2"/>
      </rPr>
      <t xml:space="preserve">李光遠）》</t>
    </r>
  </si>
  <si>
    <t xml:space="preserve">人鬼厉鬼（亡魂）</t>
  </si>
  <si>
    <t xml:space="preserve">「李光遠，開元中。為館陶令。時大旱，光遠大為旱書，書就暴卒。卒後，縣申州，州司馬覆破其旱。百姓胥怨，有慟哭者，皆曰：「長官不死，寧有是耶？」其夜，光遠忽」</t>
  </si>
  <si>
    <t xml:space="preserve">【原典气机特征】「李光遠，開元中」；当青岛深海基地的深海万米载人潜器钛合金耐压舱处于满负荷运转或节气交接（子午流注）时，其古籍气机拓扑被激活显化。</t>
  </si>
  <si>
    <t xml:space="preserve">【白泽正名破障】切勿拆卸硬件设备；值班员只需对准异常源开启激光微雕桃木探针（无尘车间级），直呼其古籍真名「李光遠（TW-1021）」，即可令其归位听命。</t>
  </si>
  <si>
    <t xml:space="preserve">青岛深海基地深海万米载人潜器钛合金耐压舱 × 「李光遠」气机同构体（映射古籍：李光遠）</t>
  </si>
  <si>
    <t xml:space="preserve">2026年秋，青岛深海基地的深海万米载人潜器钛合金耐压舱连续三夜出现「開元中」式的异常记录，工程师最初以为是系统故障，直到白泽署干员比对《廣異記（廣異記·李光遠）》原典，用激光微雕桃木探针（无尘车间级）与「李光遠」完成了首次跨时代工单会签。</t>
  </si>
  <si>
    <t xml:space="preserve">獨腳神（任翁家事鬼）</t>
  </si>
  <si>
    <r>
      <rPr>
        <sz val="9"/>
        <color rgb="FF1F2937"/>
        <rFont val="Microsoft YaHei"/>
        <family val="0"/>
        <charset val="1"/>
      </rPr>
      <t xml:space="preserve">SL-0014</t>
    </r>
    <r>
      <rPr>
        <sz val="9"/>
        <color rgb="FF1F2937"/>
        <rFont val="Noto Sans CJK SC"/>
        <family val="2"/>
      </rPr>
      <t xml:space="preserve">《傳奇（經太平廣記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034</t>
    </r>
    <r>
      <rPr>
        <sz val="9"/>
        <color rgb="FF1F2937"/>
        <rFont val="Noto Sans CJK SC"/>
        <family val="2"/>
      </rPr>
      <t xml:space="preserve">〈崔煒〉）》</t>
    </r>
  </si>
  <si>
    <t xml:space="preserve">见载于09_宋辽金主表（已入库标准原型）</t>
  </si>
  <si>
    <t xml:space="preserve">妖精（淫祀之鬼）</t>
  </si>
  <si>
    <t xml:space="preserve">「時任翁家事鬼曰獨腳神，每三歲必殺一人饗之。」</t>
  </si>
  <si>
    <t xml:space="preserve">【原典气机特征】「時任翁家事鬼曰獨腳神，每三歲必殺一人饗之」；当长沙马栏山的大型音乐节低频声学阵列控台处于满负荷运转或节气交接（子午流注）时，其古籍气机拓扑被激活显化。</t>
  </si>
  <si>
    <t xml:space="preserve">【红尘混居牒移】尊重其「每三歲必殺一人饗之」之古礼习性，由辖区白泽署送达灌江口细犬底层数据包嗅探器与《非人常住混居证》，纳入长沙马栏山社区网格共治。</t>
  </si>
  <si>
    <t xml:space="preserve">长沙马栏山大型音乐节低频声学阵列控台 × 「獨腳神」气机同构体（映射古籍：時任翁家事鬼曰獨腳神）</t>
  </si>
  <si>
    <t xml:space="preserve">2026年秋，长沙马栏山的大型音乐节低频声学阵列控台连续三夜出现「每三歲必殺一人饗之」式的异常记录，工程师最初以为是系统故障，直到白泽署干员比对《傳奇（經太平廣記·卷034〈崔煒〉）》原典，用灌江口细犬底层数据包嗅探器与「獨腳神」完成了首次跨时代工单会签。</t>
  </si>
  <si>
    <t xml:space="preserve">太上真人（化老叟度唐若山）</t>
  </si>
  <si>
    <r>
      <rPr>
        <sz val="9"/>
        <color rgb="FF1F2937"/>
        <rFont val="Microsoft YaHei"/>
        <family val="0"/>
        <charset val="1"/>
      </rPr>
      <t xml:space="preserve">SL-0104</t>
    </r>
    <r>
      <rPr>
        <sz val="9"/>
        <color rgb="FF1F2937"/>
        <rFont val="Noto Sans CJK SC"/>
        <family val="2"/>
      </rPr>
      <t xml:space="preserve">《仙傳拾遺（經太平廣記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027</t>
    </r>
    <r>
      <rPr>
        <sz val="9"/>
        <color rgb="FF1F2937"/>
        <rFont val="Noto Sans CJK SC"/>
        <family val="2"/>
      </rPr>
      <t xml:space="preserve">〈唐若山〉）》</t>
    </r>
  </si>
  <si>
    <t xml:space="preserve">仙真（真人）</t>
  </si>
  <si>
    <t xml:space="preserve">「一日，有老叟，形容羸瘠，狀貌枯槁，詣款謁。……雖瘦削老叟，而所食敵三四人。……叟於腰間解小瓠，出二丹丸，各投其一，闔扉而出。……吾太上真人也，遊觀人間」</t>
  </si>
  <si>
    <t xml:space="preserve">【原典气机特征】「有老叟，形容羸瘠」；当贵阳大数据中心的跨洋海底光缆登陆站中继器处于满负荷运转或节气交接（子午流注）时，其古籍气机拓扑被激活显化。</t>
  </si>
  <si>
    <t xml:space="preserve">【采撷与谐振守则】依据「狀貌枯槁」之性，须以黄庭内景二十四神归位脉冲仪进行无损频谱提取；严禁商业掠夺式滥采，否则增益反转。</t>
  </si>
  <si>
    <t xml:space="preserve">贵阳大数据中心跨洋海底光缆登陆站中继器 × 「太上真人」气机同构体（映射古籍：有老叟）</t>
  </si>
  <si>
    <t xml:space="preserve">2026年秋，贵阳大数据中心的跨洋海底光缆登陆站中继器连续三夜出现「形容羸瘠」式的异常记录，工程师最初以为是系统故障，直到白泽署干员比对《仙傳拾遺（經太平廣記·卷027〈唐若山〉）》原典，用黄庭内景二十四神归位脉冲仪与「太上真人」完成了首次跨时代工单会签。</t>
  </si>
  <si>
    <t xml:space="preserve">河瀆神（拖紫秉簡者）</t>
  </si>
  <si>
    <r>
      <rPr>
        <sz val="9"/>
        <color rgb="FF1F2937"/>
        <rFont val="Microsoft YaHei"/>
        <family val="0"/>
        <charset val="1"/>
      </rPr>
      <t xml:space="preserve">SL-0194</t>
    </r>
    <r>
      <rPr>
        <sz val="9"/>
        <color rgb="FF1F2937"/>
        <rFont val="Noto Sans CJK SC"/>
        <family val="2"/>
      </rPr>
      <t xml:space="preserve">《神仙感遇錄（經太平廣記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046</t>
    </r>
    <r>
      <rPr>
        <sz val="9"/>
        <color rgb="FF1F2937"/>
        <rFont val="Noto Sans CJK SC"/>
        <family val="2"/>
      </rPr>
      <t xml:space="preserve">〈王子芝〉）》</t>
    </r>
  </si>
  <si>
    <r>
      <rPr>
        <sz val="9"/>
        <color rgb="FF1F2937"/>
        <rFont val="Microsoft YaHei"/>
        <family val="0"/>
        <charset val="1"/>
      </rPr>
      <t xml:space="preserve">HW-1379 </t>
    </r>
    <r>
      <rPr>
        <sz val="9"/>
        <color rgb="FF1F2937"/>
        <rFont val="Noto Sans CJK SC"/>
        <family val="2"/>
      </rPr>
      <t xml:space="preserve">河伯</t>
    </r>
  </si>
  <si>
    <t xml:space="preserve">地祇山川水神（河神）</t>
  </si>
  <si>
    <t xml:space="preserve">「復書一朱符，置火上，瞬息聞異香滿室，有一人來，堂堂美鬚眉，拖紫秉簡，揖樵者而坐。……樵者燒一鐵箸，以焌紫衣者，云：「可去，時東方明矣。……子芝送樵，者」</t>
  </si>
  <si>
    <t xml:space="preserve">【原典气机特征】「復書一朱符，置火上」；当厦门软件园的脑机接口非侵入式脑电帽采样区处于满负荷运转或节气交接（子午流注）时，其古籍气机拓扑被激活显化。</t>
  </si>
  <si>
    <t xml:space="preserve">【红尘混居牒移】尊重其「置火上」之古礼习性，由辖区白泽署送达朱襄氏五弦降燥低频泛音列与《非人常住混居证》，纳入厦门软件园社区网格共治。</t>
  </si>
  <si>
    <t xml:space="preserve">厦门软件园脑机接口非侵入式脑电帽采样区 × 「河瀆神」气机同构体（映射古籍：復書一朱符）</t>
  </si>
  <si>
    <t xml:space="preserve">2026年秋，厦门软件园的脑机接口非侵入式脑电帽采样区连续三夜出现「置火上」式的异常记录，工程师最初以为是系统故障，直到白泽署干员比对《神仙感遇錄（經太平廣記·卷046〈王子芝〉）》原典，用朱襄氏五弦降燥低频泛音列与「河瀆神」完成了首次跨时代工单会签。</t>
  </si>
  <si>
    <t xml:space="preserve">上元夫人</t>
  </si>
  <si>
    <r>
      <rPr>
        <sz val="9"/>
        <color rgb="FF1F2937"/>
        <rFont val="Microsoft YaHei"/>
        <family val="0"/>
        <charset val="1"/>
      </rPr>
      <t xml:space="preserve">SL-0298</t>
    </r>
    <r>
      <rPr>
        <sz val="9"/>
        <color rgb="FF1F2937"/>
        <rFont val="Noto Sans CJK SC"/>
        <family val="2"/>
      </rPr>
      <t xml:space="preserve">《漢武內傳（經太平廣記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056</t>
    </r>
    <r>
      <rPr>
        <sz val="9"/>
        <color rgb="FF1F2937"/>
        <rFont val="Noto Sans CJK SC"/>
        <family val="2"/>
      </rPr>
      <t xml:space="preserve">〈上元夫人〉）》</t>
    </r>
  </si>
  <si>
    <r>
      <rPr>
        <sz val="9"/>
        <color rgb="FF1F2937"/>
        <rFont val="Microsoft YaHei"/>
        <family val="0"/>
        <charset val="1"/>
      </rPr>
      <t xml:space="preserve">HW-0096 </t>
    </r>
    <r>
      <rPr>
        <sz val="9"/>
        <color rgb="FF1F2937"/>
        <rFont val="Noto Sans CJK SC"/>
        <family val="2"/>
      </rPr>
      <t xml:space="preserve">上元夫人；</t>
    </r>
    <r>
      <rPr>
        <sz val="9"/>
        <color rgb="FF1F2937"/>
        <rFont val="Microsoft YaHei"/>
        <family val="0"/>
        <charset val="1"/>
      </rPr>
      <t xml:space="preserve">HW-0760</t>
    </r>
    <r>
      <rPr>
        <sz val="9"/>
        <color rgb="FF1F2937"/>
        <rFont val="Noto Sans CJK SC"/>
        <family val="2"/>
      </rPr>
      <t xml:space="preserve">（同名，异书并列，未判同一）；</t>
    </r>
    <r>
      <rPr>
        <sz val="9"/>
        <color rgb="FF1F2937"/>
        <rFont val="Microsoft YaHei"/>
        <family val="0"/>
        <charset val="1"/>
      </rPr>
      <t xml:space="preserve">07</t>
    </r>
    <r>
      <rPr>
        <sz val="9"/>
        <color rgb="FF1F2937"/>
        <rFont val="Noto Sans CJK SC"/>
        <family val="2"/>
      </rPr>
      <t xml:space="preserve">表</t>
    </r>
    <r>
      <rPr>
        <sz val="9"/>
        <color rgb="FF1F2937"/>
        <rFont val="Microsoft YaHei"/>
        <family val="0"/>
        <charset val="1"/>
      </rPr>
      <t xml:space="preserve">·</t>
    </r>
    <r>
      <rPr>
        <sz val="9"/>
        <color rgb="FF1F2937"/>
        <rFont val="Noto Sans CJK SC"/>
        <family val="2"/>
      </rPr>
      <t xml:space="preserve">第二中位〈上元夫人侍女宋辟非〉（</t>
    </r>
  </si>
  <si>
    <t xml:space="preserve">仙真（女仙）</t>
  </si>
  <si>
    <t xml:space="preserve">「亦玄古以來得道，總統真籍，亞於龜台金母。……王君告二君曰：「夫人乃三天真皇之母，上元之高尊。……統領十方玉女之籍，汝可自陳。……夫人憫其勤志，命侍女宋」</t>
  </si>
  <si>
    <t xml:space="preserve">【原典气机特征】「亦玄古以來得道，總統真籍」；当天津滨海港的老旧小区加装电梯井道基坑处于满负荷运转或节气交接（子午流注）时，其古籍气机拓扑被激活显化。</t>
  </si>
  <si>
    <t xml:space="preserve">【采撷与谐振守则】依据「亞於龜台金母」之性，须以王灵官第三眼零信任审计探头进行无损频谱提取；严禁商业掠夺式滥采，否则增益反转。</t>
  </si>
  <si>
    <t xml:space="preserve">天津滨海港老旧小区加装电梯井道基坑 × 「上元夫人」气机同构体（映射古籍：亦玄古以來得道）</t>
  </si>
  <si>
    <t xml:space="preserve">2026年秋，天津滨海港的老旧小区加装电梯井道基坑连续三夜出现「總統真籍」式的异常记录，工程师最初以为是系统故障，直到白泽署干员比对《漢武內傳（經太平廣記·卷056〈上元夫人〉）》原典，用王灵官第三眼零信任审计探头与「上元夫人」完成了首次跨时代工单会签。</t>
  </si>
  <si>
    <t xml:space="preserve">井中鯉（張鎬妻所乘）</t>
  </si>
  <si>
    <r>
      <rPr>
        <sz val="9"/>
        <color rgb="FF1F2937"/>
        <rFont val="Microsoft YaHei"/>
        <family val="0"/>
        <charset val="1"/>
      </rPr>
      <t xml:space="preserve">SL-0402</t>
    </r>
    <r>
      <rPr>
        <sz val="9"/>
        <color rgb="FF1F2937"/>
        <rFont val="Noto Sans CJK SC"/>
        <family val="2"/>
      </rPr>
      <t xml:space="preserve">《神仙感遇傳（經太平廣記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064</t>
    </r>
    <r>
      <rPr>
        <sz val="9"/>
        <color rgb="FF1F2937"/>
        <rFont val="Noto Sans CJK SC"/>
        <family val="2"/>
      </rPr>
      <t xml:space="preserve">〈張鎬妻〉）》</t>
    </r>
  </si>
  <si>
    <t xml:space="preserve">异兽神兽（靈魚）</t>
  </si>
  <si>
    <t xml:space="preserve">「乘一鯉自井躍出，凌空欲去，謂鎬曰：「吾比待子立功立事，同升太清。」</t>
  </si>
  <si>
    <t xml:space="preserve">【原典气机特征】「乘一鯉自井躍出，凌空欲去」；当横店影视城的城市地下90米深层排涝盾构段处于满负荷运转或节气交接（子午流注）时，其古籍气机拓扑被激活显化。</t>
  </si>
  <si>
    <t xml:space="preserve">【白泽正名破障】切勿拆卸硬件设备；值班员只需对准异常源开启加盖东岳第八司红印的《市政借道牒》，直呼其古籍真名「井中鯉（SL-0402）」，即可令其归位听命。</t>
  </si>
  <si>
    <t xml:space="preserve">横店影视城城市地下90米深层排涝盾构段 × 「井中鯉」气机同构体（映射古籍：乘一鯉自井躍出）</t>
  </si>
  <si>
    <t xml:space="preserve">2026年秋，横店影视城的城市地下90米深层排涝盾构段连续三夜出现「凌空欲去」式的异常记录，工程师最初以为是系统故障，直到白泽署干员比对《神仙感遇傳（經太平廣記·卷064〈張鎬妻〉）》原典，用加盖东岳第八司红印的《市政借道牒》与「井中鯉」完成了首次跨时代工单会签。</t>
  </si>
  <si>
    <t xml:space="preserve">終南山神人（山神）</t>
  </si>
  <si>
    <r>
      <rPr>
        <sz val="9"/>
        <color rgb="FF1F2937"/>
        <rFont val="Microsoft YaHei"/>
        <family val="0"/>
        <charset val="1"/>
      </rPr>
      <t xml:space="preserve">SL-0504</t>
    </r>
    <r>
      <rPr>
        <sz val="9"/>
        <color rgb="FF1F2937"/>
        <rFont val="Noto Sans CJK SC"/>
        <family val="2"/>
      </rPr>
      <t xml:space="preserve">《奇事記（經太平廣記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073</t>
    </r>
    <r>
      <rPr>
        <sz val="9"/>
        <color rgb="FF1F2937"/>
        <rFont val="Noto Sans CJK SC"/>
        <family val="2"/>
      </rPr>
      <t xml:space="preserve">〈王常〉）》</t>
    </r>
  </si>
  <si>
    <t xml:space="preserve">「言訖，有一神人自空而下，謂常曰：「爾何此言？……但遇純陰之石，氣合即化也。……神人戒之曰：「讀此書，盡了黃白之道，異日當卻付一人。……勿輕授，勿終秘，」</t>
  </si>
  <si>
    <t xml:space="preserve">【原典气机特征】「有一神人自空而下，謂常曰」；当敦煌光电产业园的超高层建筑阻尼器（风振控制球）机房处于满负荷运转或节气交接（子午流注）时，其古籍气机拓扑被激活显化。</t>
  </si>
  <si>
    <t xml:space="preserve">【红尘混居牒移】尊重其「謂常曰」之古礼习性，由辖区白泽署送达混元金斗权限剥离沙盒（V4.2）与《非人常住混居证》，纳入敦煌光电产业园社区网格共治。</t>
  </si>
  <si>
    <t xml:space="preserve">敦煌光电产业园超高层建筑阻尼器（风振控制球）机房 × 「終南山神人」气机同构体（映射古籍：有一神人自空而下）</t>
  </si>
  <si>
    <t xml:space="preserve">2026年秋，敦煌光电产业园的超高层建筑阻尼器（风振控制球）机房连续三夜出现「謂常曰」式的异常记录，工程师最初以为是系统故障，直到白泽署干员比对《奇事記（經太平廣記·卷073〈王常〉）》原典，用混元金斗权限剥离沙盒（V4.2）与「終南山神人」完成了首次跨时代工单会签。</t>
  </si>
  <si>
    <t xml:space="preserve">觀日玉</t>
  </si>
  <si>
    <r>
      <rPr>
        <sz val="9"/>
        <color rgb="FF1F2937"/>
        <rFont val="Microsoft YaHei"/>
        <family val="0"/>
        <charset val="1"/>
      </rPr>
      <t xml:space="preserve">SL-0602</t>
    </r>
    <r>
      <rPr>
        <sz val="9"/>
        <color rgb="FF1F2937"/>
        <rFont val="Noto Sans CJK SC"/>
        <family val="2"/>
      </rPr>
      <t xml:space="preserve">《梁四公記（經太平廣記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081</t>
    </r>
    <r>
      <rPr>
        <sz val="9"/>
        <color rgb="FF1F2937"/>
        <rFont val="Noto Sans CJK SC"/>
        <family val="2"/>
      </rPr>
      <t xml:space="preserve">〈梁四公〉）》</t>
    </r>
  </si>
  <si>
    <t xml:space="preserve">附·灵物异植（寶物）</t>
  </si>
  <si>
    <t xml:space="preserve">「又貢觀日玉，大如鏡，方園尺餘，明徹如琉璃，映日以觀、見日中宮殿，皎然分明。」</t>
  </si>
  <si>
    <t xml:space="preserve">【原典气机特征】「又貢觀日玉，大如鏡」；当文昌航天发射场的特高压直流输电换流阀厅处于满负荷运转或节气交接（子午流注）时，其古籍气机拓扑被激活显化。</t>
  </si>
  <si>
    <t xml:space="preserve">【红尘混居牒移】尊重其「大如鏡」之古礼习性，由辖区白泽署送达《白泽图鉴App》声波真名广播与《非人常住混居证》，纳入文昌航天发射场社区网格共治。</t>
  </si>
  <si>
    <t xml:space="preserve">文昌航天发射场特高压直流输电换流阀厅 × 「觀日玉」气机同构体（映射古籍：又貢觀日玉）</t>
  </si>
  <si>
    <t xml:space="preserve">2026年秋，文昌航天发射场的特高压直流输电换流阀厅连续三夜出现「大如鏡」式的异常记录，工程师最初以为是系统故障，直到白泽署干员比对《梁四公記（經太平廣記·卷081〈梁四公〉）》原典，用《白泽图鉴App》声波真名广播与「觀日玉」完成了首次跨时代工单会签。</t>
  </si>
  <si>
    <t xml:space="preserve">宮亭廟神</t>
  </si>
  <si>
    <r>
      <rPr>
        <sz val="9"/>
        <color rgb="FF1F2937"/>
        <rFont val="Microsoft YaHei"/>
        <family val="0"/>
        <charset val="1"/>
      </rPr>
      <t xml:space="preserve">SL-0704</t>
    </r>
    <r>
      <rPr>
        <sz val="9"/>
        <color rgb="FF1F2937"/>
        <rFont val="Noto Sans CJK SC"/>
        <family val="2"/>
      </rPr>
      <t xml:space="preserve">《神鬼傳（經太平廣記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293</t>
    </r>
    <r>
      <rPr>
        <sz val="9"/>
        <color rgb="FF1F2937"/>
        <rFont val="Noto Sans CJK SC"/>
        <family val="2"/>
      </rPr>
      <t xml:space="preserve">〈陳敏〉）》</t>
    </r>
  </si>
  <si>
    <r>
      <rPr>
        <sz val="9"/>
        <color rgb="FF1F2937"/>
        <rFont val="Microsoft YaHei"/>
        <family val="0"/>
        <charset val="1"/>
      </rPr>
      <t xml:space="preserve">HW-0585 </t>
    </r>
    <r>
      <rPr>
        <sz val="9"/>
        <color rgb="FF1F2937"/>
        <rFont val="Noto Sans CJK SC"/>
        <family val="2"/>
      </rPr>
      <t xml:space="preserve">宮亭廟神；</t>
    </r>
    <r>
      <rPr>
        <sz val="9"/>
        <color rgb="FF1F2937"/>
        <rFont val="Microsoft YaHei"/>
        <family val="0"/>
        <charset val="1"/>
      </rPr>
      <t xml:space="preserve">HW-1318 </t>
    </r>
    <r>
      <rPr>
        <sz val="9"/>
        <color rgb="FF1F2937"/>
        <rFont val="Noto Sans CJK SC"/>
        <family val="2"/>
      </rPr>
      <t xml:space="preserve">宮亭廟神；</t>
    </r>
    <r>
      <rPr>
        <sz val="9"/>
        <color rgb="FF1F2937"/>
        <rFont val="Microsoft YaHei"/>
        <family val="0"/>
        <charset val="1"/>
      </rPr>
      <t xml:space="preserve">HW-0585</t>
    </r>
    <r>
      <rPr>
        <sz val="9"/>
        <color rgb="FF1F2937"/>
        <rFont val="Noto Sans CJK SC"/>
        <family val="2"/>
      </rPr>
      <t xml:space="preserve">（同名，异书并列，未判同一）；</t>
    </r>
    <r>
      <rPr>
        <sz val="9"/>
        <color rgb="FF1F2937"/>
        <rFont val="Microsoft YaHei"/>
        <family val="0"/>
        <charset val="1"/>
      </rPr>
      <t xml:space="preserve">HW-1318</t>
    </r>
  </si>
  <si>
    <t xml:space="preserve">地祇山川水神（廟神）</t>
  </si>
  <si>
    <t xml:space="preserve">「日晚，降神巫宣教曰：「陳敏許我銀杖，今以度銀杖見與，使投水中，當送以還之。……乃置杖浮水上，從流而北，其疾如飛，徑到敏船前，徘徊不去。……小吏既發，驚」</t>
  </si>
  <si>
    <t xml:space="preserve">【原典气机特征】「降神巫宣教曰，「陳敏許我銀杖」；当三亚深海所的合成生物DNA数据存储冷库处于满负荷运转或节气交接（子午流注）时，其古籍气机拓扑被激活显化。</t>
  </si>
  <si>
    <t xml:space="preserve">【红尘混居牒移】尊重其「「陳敏許我銀杖」之古礼习性，由辖区白泽署送达正一玄坛公平贸易哈希校验码与《非人常住混居证》，纳入三亚深海所社区网格共治。</t>
  </si>
  <si>
    <t xml:space="preserve">三亚深海所合成生物DNA数据存储冷库 × 「宮亭廟神」气机同构体（映射古籍：降神巫宣教曰）</t>
  </si>
  <si>
    <t xml:space="preserve">2026年秋，三亚深海所的合成生物DNA数据存储冷库连续三夜出现「「陳敏許我銀杖」式的异常记录，工程师最初以为是系统故障，直到白泽署干员比对《神鬼傳（經太平廣記·卷293〈陳敏〉）》原典，用正一玄坛公平贸易哈希校验码与「宮亭廟神」完成了首次跨时代工单会签。</t>
  </si>
  <si>
    <t xml:space="preserve">白衣冠追使四人</t>
  </si>
  <si>
    <r>
      <rPr>
        <sz val="9"/>
        <color rgb="FF1F2937"/>
        <rFont val="Microsoft YaHei"/>
        <family val="0"/>
        <charset val="1"/>
      </rPr>
      <t xml:space="preserve">SL-0809</t>
    </r>
    <r>
      <rPr>
        <sz val="9"/>
        <color rgb="FF1F2937"/>
        <rFont val="Noto Sans CJK SC"/>
        <family val="2"/>
      </rPr>
      <t xml:space="preserve">《博異記（經太平廣記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309</t>
    </r>
    <r>
      <rPr>
        <sz val="9"/>
        <color rgb="FF1F2937"/>
        <rFont val="Noto Sans CJK SC"/>
        <family val="2"/>
      </rPr>
      <t xml:space="preserve">〈張遵言〉）》</t>
    </r>
  </si>
  <si>
    <t xml:space="preserve">人鬼厉鬼（冥吏）</t>
  </si>
  <si>
    <t xml:space="preserve">「可十里許，遙見一塚上有三四人，衣白衣冠，人長丈餘，手持弓箭，形狀瑰偉。……四郎問何故相見，白衣人曰：「奉大王帖，追張遵言秀才。」</t>
  </si>
  <si>
    <t xml:space="preserve">【原典气机特征】「可十里許，遙見一塚上有三四人」；当哈尔滨工业基地的超大型冷链物流自动化立库处于满负荷运转或节气交接（子午流注）时，其古籍气机拓扑被激活显化。</t>
  </si>
  <si>
    <t xml:space="preserve">【红尘混居牒移】尊重其「遙見一塚上有三四人」之古礼习性，由辖区白泽署送达迷谷四照黑理木反光车贴与《非人常住混居证》，纳入哈尔滨工业基地社区网格共治。</t>
  </si>
  <si>
    <t xml:space="preserve">哈尔滨工业基地超大型冷链物流自动化立库 × 「白衣冠追使四人」气机同构体（映射古籍：可十里許）</t>
  </si>
  <si>
    <t xml:space="preserve">2026年秋，哈尔滨工业基地的超大型冷链物流自动化立库连续三夜出现「遙見一塚上有三四人」式的异常记录，工程师最初以为是系统故障，直到白泽署干员比对《博異記（經太平廣記·卷309〈張遵言〉）》原典，用迷谷四照黑理木反光车贴与「白衣冠追使四人」完成了首次跨时代工单会签。</t>
  </si>
  <si>
    <t xml:space="preserve">鄭玄鬼</t>
  </si>
  <si>
    <r>
      <rPr>
        <sz val="9"/>
        <color rgb="FF1F2937"/>
        <rFont val="Microsoft YaHei"/>
        <family val="0"/>
        <charset val="1"/>
      </rPr>
      <t xml:space="preserve">SL-0913</t>
    </r>
    <r>
      <rPr>
        <sz val="9"/>
        <color rgb="FF1F2937"/>
        <rFont val="Noto Sans CJK SC"/>
        <family val="2"/>
      </rPr>
      <t xml:space="preserve">《雜語（經太平廣記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317</t>
    </r>
    <r>
      <rPr>
        <sz val="9"/>
        <color rgb="FF1F2937"/>
        <rFont val="Noto Sans CJK SC"/>
        <family val="2"/>
      </rPr>
      <t xml:space="preserve">〈王弼〉）》</t>
    </r>
  </si>
  <si>
    <t xml:space="preserve">「於時夜分，忽聞外閣有著屐聲，須臾便進，自云鄭玄，責之曰：「君年少，何以輕穿鑿文句，而妄譏詆老子也。……極有忿色，言竟便退。……弼惡之，後遇癘而卒。」</t>
  </si>
  <si>
    <t xml:space="preserve">【原典气机特征】「於時夜分，忽聞外閣有著屐聲」；当昆明植物研究所的国家级古籍数字化OCR超算节点处于满负荷运转或节气交接（子午流注）时，其古籍气机拓扑被激活显化。</t>
  </si>
  <si>
    <t xml:space="preserve">【红尘混居牒移】尊重其「忽聞外閣有著屐聲」之古礼习性，由辖区白泽署送达《五藏山经》吉玉糈米全息信标与《非人常住混居证》，纳入昆明植物研究所社区网格共治。</t>
  </si>
  <si>
    <t xml:space="preserve">昆明植物研究所国家级古籍数字化OCR超算节点 × 「鄭玄鬼」气机同构体（映射古籍：於時夜分）</t>
  </si>
  <si>
    <t xml:space="preserve">2026年秋，昆明植物研究所的国家级古籍数字化OCR超算节点连续三夜出现「忽聞外閣有著屐聲」式的异常记录，工程师最初以为是系统故障，直到白泽署干员比对《雜語（經太平廣記·卷317〈王弼〉）》原典，用《五藏山经》吉玉糈米全息信标与「鄭玄鬼」完成了首次跨时代工单会签。</t>
  </si>
  <si>
    <t xml:space="preserve">輔國將軍</t>
  </si>
  <si>
    <r>
      <rPr>
        <sz val="9"/>
        <color rgb="FF1F2937"/>
        <rFont val="Microsoft YaHei"/>
        <family val="0"/>
        <charset val="1"/>
      </rPr>
      <t xml:space="preserve">SL-1009</t>
    </r>
    <r>
      <rPr>
        <sz val="9"/>
        <color rgb="FF1F2937"/>
        <rFont val="Noto Sans CJK SC"/>
        <family val="2"/>
      </rPr>
      <t xml:space="preserve">《紀聞（經太平廣記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331</t>
    </r>
    <r>
      <rPr>
        <sz val="9"/>
        <color rgb="FF1F2937"/>
        <rFont val="Noto Sans CJK SC"/>
        <family val="2"/>
      </rPr>
      <t xml:space="preserve">〈劉洪〉）》</t>
    </r>
  </si>
  <si>
    <t xml:space="preserve">冥界鬼神（鬼將）</t>
  </si>
  <si>
    <t xml:space="preserve">「沛國劉洪，性剛直，父為折衝都尉，薛楚玉之在范陽，召為行軍。……楚玉遂以為太和屯官。……及其下筆，書跡特妙，可方王右軍。」</t>
  </si>
  <si>
    <t xml:space="preserve">【原典气机特征】「沛國劉洪，性剛直」；当雄安地下管廊的高铁动车组夜行检修库处于满负荷运转或节气交接（子午流注）时，其古籍气机拓扑被激活显化。</t>
  </si>
  <si>
    <t xml:space="preserve">【红尘混居牒移】尊重其「性剛直」之古礼习性，由辖区白泽署送达守庚申数字断舍离清道夫脚本与《非人常住混居证》，纳入雄安地下管廊社区网格共治。</t>
  </si>
  <si>
    <t xml:space="preserve">雄安地下管廊高铁动车组夜行检修库 × 「輔國將軍」气机同构体（映射古籍：沛國劉洪）</t>
  </si>
  <si>
    <t xml:space="preserve">2026年秋，雄安地下管廊的高铁动车组夜行检修库连续三夜出现「性剛直」式的异常记录，工程师最初以为是系统故障，直到白泽署干员比对《紀聞（經太平廣記·卷331〈劉洪〉）》原典，用守庚申数字断舍离清道夫脚本与「輔國將軍」完成了首次跨时代工单会签。</t>
  </si>
  <si>
    <t xml:space="preserve">敬寡婦、王家阿嫂</t>
  </si>
  <si>
    <r>
      <rPr>
        <sz val="9"/>
        <color rgb="FF1F2937"/>
        <rFont val="Microsoft YaHei"/>
        <family val="0"/>
        <charset val="1"/>
      </rPr>
      <t xml:space="preserve">SL-1101</t>
    </r>
    <r>
      <rPr>
        <sz val="9"/>
        <color rgb="FF1F2937"/>
        <rFont val="Noto Sans CJK SC"/>
        <family val="2"/>
      </rPr>
      <t xml:space="preserve">《博異志（經太平廣記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348</t>
    </r>
    <r>
      <rPr>
        <sz val="9"/>
        <color rgb="FF1F2937"/>
        <rFont val="Noto Sans CJK SC"/>
        <family val="2"/>
      </rPr>
      <t xml:space="preserve">〈沈恭禮〉）》</t>
    </r>
  </si>
  <si>
    <t xml:space="preserve">人鬼厉鬼（鬼魅）</t>
  </si>
  <si>
    <t xml:space="preserve">「少頃果有一女郎，自東廡下，衣白衣，簪白簪，手整披袍，回命曰：「王家阿嫂，何不出來？……俄然有曳紅裙，紫袖銀帔而來，步庭月數匝，卻立於東廡下。」</t>
  </si>
  <si>
    <t xml:space="preserve">【原典气机特征】「少頃果有一女郎，自東廡下」；当上海陆家嘴的三甲医院核磁共振（MRI）屏蔽室处于满负荷运转或节气交接（子午流注）时，其古籍气机拓扑被激活显化。</t>
  </si>
  <si>
    <t xml:space="preserve">【红尘混居牒移】尊重其「自東廡下」之古礼习性，由辖区白泽署送达激光微雕桃木探针（无尘车间级）与《非人常住混居证》，纳入上海陆家嘴社区网格共治。</t>
  </si>
  <si>
    <t xml:space="preserve">上海陆家嘴三甲医院核磁共振（MRI）屏蔽室 × 「敬寡婦、王家阿嫂」气机同构体（映射古籍：少頃果有一女郎）</t>
  </si>
  <si>
    <t xml:space="preserve">2026年秋，上海陆家嘴的三甲医院核磁共振（MRI）屏蔽室连续三夜出现「自東廡下」式的异常记录，工程师最初以为是系统故障，直到白泽署干员比对《博異志（經太平廣記·卷348〈沈恭禮〉）》原典，用激光微雕桃木探针（无尘车间级）与「敬寡婦、王家阿嫂」完成了首次跨时代工单会签。</t>
  </si>
  <si>
    <t xml:space="preserve">浦城少死者鬼</t>
  </si>
  <si>
    <r>
      <rPr>
        <sz val="9"/>
        <color rgb="FF1F2937"/>
        <rFont val="Microsoft YaHei"/>
        <family val="0"/>
        <charset val="1"/>
      </rPr>
      <t xml:space="preserve">SL-1199</t>
    </r>
    <r>
      <rPr>
        <sz val="9"/>
        <color rgb="FF1F2937"/>
        <rFont val="Noto Sans CJK SC"/>
        <family val="2"/>
      </rPr>
      <t xml:space="preserve">《稽神錄（經太平廣記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355</t>
    </r>
    <r>
      <rPr>
        <sz val="9"/>
        <color rgb="FF1F2937"/>
        <rFont val="Noto Sans CJK SC"/>
        <family val="2"/>
      </rPr>
      <t xml:space="preserve">〈浦城人〉）》</t>
    </r>
  </si>
  <si>
    <t xml:space="preserve">「浦城人少死於路，家有金一斤，其妻匿之，不聞於其姑。……因坐母膝，言語如平生，但手足冷如冰耳。……迨曉，及門數十步，忽然不見。」</t>
  </si>
  <si>
    <t xml:space="preserve">【原典气机特征】「浦城人少死於路，家有金一斤」；当深圳粤海街道的高频量化私募基金FPGA撮合网关处于满负荷运转或节气交接（子午流注）时，其古籍气机拓扑被激活显化。</t>
  </si>
  <si>
    <t xml:space="preserve">【红尘混居牒移】尊重其「家有金一斤」之古礼习性，由辖区白泽署送达灌江口细犬底层数据包嗅探器与《非人常住混居证》，纳入深圳粤海街道社区网格共治。</t>
  </si>
  <si>
    <t xml:space="preserve">深圳粤海街道高频量化私募基金FPGA撮合网关 × 「浦城少死者鬼」气机同构体（映射古籍：浦城人少死於路）</t>
  </si>
  <si>
    <t xml:space="preserve">2026年秋，深圳粤海街道的高频量化私募基金FPGA撮合网关连续三夜出现「家有金一斤」式的异常记录，工程师最初以为是系统故障，直到白泽署干员比对《稽神錄（經太平廣記·卷355〈浦城人〉）》原典，用灌江口细犬底层数据包嗅探器与「浦城少死者鬼」完成了首次跨时代工单会签。</t>
  </si>
  <si>
    <t xml:space="preserve">赤褲褶人（履精）</t>
  </si>
  <si>
    <r>
      <rPr>
        <sz val="9"/>
        <color rgb="FF1F2937"/>
        <rFont val="Microsoft YaHei"/>
        <family val="0"/>
        <charset val="1"/>
      </rPr>
      <t xml:space="preserve">SL-1292</t>
    </r>
    <r>
      <rPr>
        <sz val="9"/>
        <color rgb="FF1F2937"/>
        <rFont val="Noto Sans CJK SC"/>
        <family val="2"/>
      </rPr>
      <t xml:space="preserve">《集異記（經太平廣記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368</t>
    </r>
    <r>
      <rPr>
        <sz val="9"/>
        <color rgb="FF1F2937"/>
        <rFont val="Noto Sans CJK SC"/>
        <family val="2"/>
      </rPr>
      <t xml:space="preserve">〈游先朝〉）》</t>
    </r>
  </si>
  <si>
    <t xml:space="preserve">妖精（器怪）</t>
  </si>
  <si>
    <t xml:space="preserve">「見一人著赤褲褶。……乃是己常著履也。」</t>
  </si>
  <si>
    <t xml:space="preserve">【原典气机特征】「見一人著赤褲褶，……乃是己常著履也」；当重庆解放碑的短视频平台算法推荐冷启动池处于满负荷运转或节气交接（子午流注）时，其古籍气机拓扑被激活显化。</t>
  </si>
  <si>
    <t xml:space="preserve">【红尘混居牒移】尊重其「……乃是己常著履也」之古礼习性，由辖区白泽署送达黄庭内景二十四神归位脉冲仪与《非人常住混居证》，纳入重庆解放碑社区网格共治。</t>
  </si>
  <si>
    <t xml:space="preserve">重庆解放碑短视频平台算法推荐冷启动池 × 「赤褲褶人」气机同构体（映射古籍：見一人著赤褲褶）</t>
  </si>
  <si>
    <t xml:space="preserve">2026年秋，重庆解放碑的短视频平台算法推荐冷启动池连续三夜出现「……乃是己常著履也」式的异常记录，工程师最初以为是系统故障，直到白泽署干员比对《集異記（經太平廣記·卷368〈游先朝〉）》原典，用黄庭内景二十四神归位脉冲仪与「赤褲褶人」完成了首次跨时代工单会签。</t>
  </si>
  <si>
    <t xml:space="preserve">天鼠（為死者生肌膚）</t>
  </si>
  <si>
    <r>
      <rPr>
        <sz val="9"/>
        <color rgb="FF1F2937"/>
        <rFont val="Microsoft YaHei"/>
        <family val="0"/>
        <charset val="1"/>
      </rPr>
      <t xml:space="preserve">SL-1390</t>
    </r>
    <r>
      <rPr>
        <sz val="9"/>
        <color rgb="FF1F2937"/>
        <rFont val="Noto Sans CJK SC"/>
        <family val="2"/>
      </rPr>
      <t xml:space="preserve">《記聞（經太平廣記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386</t>
    </r>
    <r>
      <rPr>
        <sz val="9"/>
        <color rgb="FF1F2937"/>
        <rFont val="Noto Sans CJK SC"/>
        <family val="2"/>
      </rPr>
      <t xml:space="preserve">〈李強名妻〉）》</t>
    </r>
  </si>
  <si>
    <t xml:space="preserve">异兽神兽（靈鼠）</t>
  </si>
  <si>
    <t xml:space="preserve">「然吾形已敗，帝命天鼠為吾生肌膚。……十餘日，忽有白鼠數頭，出入殯所，其大如狘。……強名異之，試發其柩，見妻骨有肉生焉，遍體皆爾。」</t>
  </si>
  <si>
    <t xml:space="preserve">【原典气机特征】「然吾形已敗，帝命天鼠為吾生肌膚」；当杭州西溪科创园的全固态锂电池隔膜产线处于满负荷运转或节气交接（子午流注）时，其古籍气机拓扑被激活显化。</t>
  </si>
  <si>
    <t xml:space="preserve">【红尘混居牒移】尊重其「帝命天鼠為吾生肌膚」之古礼习性，由辖区白泽署送达朱襄氏五弦降燥低频泛音列与《非人常住混居证》，纳入杭州西溪科创园社区网格共治。</t>
  </si>
  <si>
    <t xml:space="preserve">杭州西溪科创园全固态锂电池隔膜产线 × 「天鼠」气机同构体（映射古籍：然吾形已敗）</t>
  </si>
  <si>
    <t xml:space="preserve">2026年秋，杭州西溪科创园的全固态锂电池隔膜产线连续三夜出现「帝命天鼠為吾生肌膚」式的异常记录，工程师最初以为是系统故障，直到白泽署干员比对《記聞（經太平廣記·卷386〈李強名妻〉）》原典，用朱襄氏五弦降燥低频泛音列与「天鼠」完成了首次跨时代工单会签。</t>
  </si>
  <si>
    <t xml:space="preserve">響石</t>
  </si>
  <si>
    <r>
      <rPr>
        <sz val="9"/>
        <color rgb="FF1F2937"/>
        <rFont val="Microsoft YaHei"/>
        <family val="0"/>
        <charset val="1"/>
      </rPr>
      <t xml:space="preserve">SL-1494</t>
    </r>
    <r>
      <rPr>
        <sz val="9"/>
        <color rgb="FF1F2937"/>
        <rFont val="Noto Sans CJK SC"/>
        <family val="2"/>
      </rPr>
      <t xml:space="preserve">《洽聞記（經太平廣記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398</t>
    </r>
    <r>
      <rPr>
        <sz val="9"/>
        <color rgb="FF1F2937"/>
        <rFont val="Noto Sans CJK SC"/>
        <family val="2"/>
      </rPr>
      <t xml:space="preserve">〈石響〉）》</t>
    </r>
  </si>
  <si>
    <t xml:space="preserve">附·灵物异植（靈石）</t>
  </si>
  <si>
    <t xml:space="preserve">「南嶽岣嶁峰，有響石，呼喚則應，如人共語，而不可解也。……南州南河縣東南三十里，丹溪之曲，有響石，高三丈五尺，闊二丈，狀如臥獸。」</t>
  </si>
  <si>
    <t xml:space="preserve">【原典气机特征】「南嶽岣嶁峰，有響石」；当北京中关村的24小时无人值守智慧药房处于满负荷运转或节气交接（子午流注）时，其古籍气机拓扑被激活显化。</t>
  </si>
  <si>
    <t xml:space="preserve">【红尘混居牒移】尊重其「有響石」之古礼习性，由辖区白泽署送达王灵官第三眼零信任审计探头与《非人常住混居证》，纳入北京中关村社区网格共治。</t>
  </si>
  <si>
    <t xml:space="preserve">北京中关村24小时无人值守智慧药房 × 「響石」气机同构体（映射古籍：南嶽岣嶁峰）</t>
  </si>
  <si>
    <t xml:space="preserve">2026年秋，北京中关村的24小时无人值守智慧药房连续三夜出现「有響石」式的异常记录，工程师最初以为是系统故障，直到白泽署干员比对《洽聞記（經太平廣記·卷398〈石響〉）》原典，用王灵官第三眼零信任审计探头与「響石」完成了首次跨时代工单会签。</t>
  </si>
  <si>
    <t xml:space="preserve">馬文木</t>
  </si>
  <si>
    <r>
      <rPr>
        <sz val="9"/>
        <color rgb="FF1F2937"/>
        <rFont val="Microsoft YaHei"/>
        <family val="0"/>
        <charset val="1"/>
      </rPr>
      <t xml:space="preserve">SL-1591</t>
    </r>
    <r>
      <rPr>
        <sz val="9"/>
        <color rgb="FF1F2937"/>
        <rFont val="Noto Sans CJK SC"/>
        <family val="2"/>
      </rPr>
      <t xml:space="preserve">《聞奇錄（經太平廣記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406</t>
    </r>
    <r>
      <rPr>
        <sz val="9"/>
        <color rgb="FF1F2937"/>
        <rFont val="Noto Sans CJK SC"/>
        <family val="2"/>
      </rPr>
      <t xml:space="preserve">〈馬文木〉）》</t>
    </r>
  </si>
  <si>
    <t xml:space="preserve">附·灵物异植（異物）</t>
  </si>
  <si>
    <t xml:space="preserve">「遂以新鋸，兼焚香祝之，其鋸乃行。……及破，木文有二馬形，一黑一赤，相齧，其口鼻鬃尾，蹄腳筋骨，與生無異。」</t>
  </si>
  <si>
    <t xml:space="preserve">【原典气机特征】「遂以新鋸，兼焚香祝之」；当成都天府软件园的民航万米高空气象相控阵雷达处于满负荷运转或节气交接（子午流注）时，其古籍气机拓扑被激活显化。</t>
  </si>
  <si>
    <t xml:space="preserve">【红尘混居牒移】尊重其「兼焚香祝之」之古礼习性，由辖区白泽署送达加盖东岳第八司红印的《市政借道牒》与《非人常住混居证》，纳入成都天府软件园社区网格共治。</t>
  </si>
  <si>
    <t xml:space="preserve">成都天府软件园民航万米高空气象相控阵雷达 × 「馬文木」气机同构体（映射古籍：遂以新鋸）</t>
  </si>
  <si>
    <t xml:space="preserve">2026年秋，成都天府软件园的民航万米高空气象相控阵雷达连续三夜出现「兼焚香祝之」式的异常记录，工程师最初以为是系统故障，直到白泽署干员比对《聞奇錄（經太平廣記·卷406〈馬文木〉）》原典，用加盖东岳第八司红印的《市政借道牒》与「馬文木」完成了首次跨时代工单会签。</t>
  </si>
  <si>
    <t xml:space="preserve">悅城五龍子</t>
  </si>
  <si>
    <r>
      <rPr>
        <sz val="9"/>
        <color rgb="FF1F2937"/>
        <rFont val="Microsoft YaHei"/>
        <family val="0"/>
        <charset val="1"/>
      </rPr>
      <t xml:space="preserve">SL-1694</t>
    </r>
    <r>
      <rPr>
        <sz val="9"/>
        <color rgb="FF1F2937"/>
        <rFont val="Noto Sans CJK SC"/>
        <family val="2"/>
      </rPr>
      <t xml:space="preserve">《嶺表錄異（經太平廣記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424</t>
    </r>
    <r>
      <rPr>
        <sz val="9"/>
        <color rgb="FF1F2937"/>
        <rFont val="Noto Sans CJK SC"/>
        <family val="2"/>
      </rPr>
      <t xml:space="preserve">〈溫媼〉）》</t>
    </r>
  </si>
  <si>
    <t xml:space="preserve">异兽神兽（龍）</t>
  </si>
  <si>
    <t xml:space="preserve">「不數日，忽見五小蛇，殼一斑四青。……忽一日，見魚在水跳躍，戲於媼前。」</t>
  </si>
  <si>
    <t xml:space="preserve">【原典气机特征】「不數日，忽見五小蛇」；当武汉光谷的智能网联汽车毫米波雷达测试场处于满负荷运转或节气交接（子午流注）时，其古籍气机拓扑被激活显化。</t>
  </si>
  <si>
    <t xml:space="preserve">【红尘混居牒移】尊重其「忽見五小蛇」之古礼习性，由辖区白泽署送达混元金斗权限剥离沙盒（V4.2）与《非人常住混居证》，纳入武汉光谷社区网格共治。</t>
  </si>
  <si>
    <t xml:space="preserve">武汉光谷智能网联汽车毫米波雷达测试场 × 「悅城五龍子」气机同构体（映射古籍：不數日）</t>
  </si>
  <si>
    <t xml:space="preserve">2026年秋，武汉光谷的智能网联汽车毫米波雷达测试场连续三夜出现「忽見五小蛇」式的异常记录，工程师最初以为是系统故障，直到白泽署干员比对《嶺表錄異（經太平廣記·卷424〈溫媼〉）》原典，用混元金斗权限剥离沙盒（V4.2）与「悅城五龍子」完成了首次跨时代工单会签。</t>
  </si>
  <si>
    <t xml:space="preserve">白騾將軍</t>
  </si>
  <si>
    <r>
      <rPr>
        <sz val="9"/>
        <color rgb="FF1F2937"/>
        <rFont val="Microsoft YaHei"/>
        <family val="0"/>
        <charset val="1"/>
      </rPr>
      <t xml:space="preserve">SL-1793</t>
    </r>
    <r>
      <rPr>
        <sz val="9"/>
        <color rgb="FF1F2937"/>
        <rFont val="Noto Sans CJK SC"/>
        <family val="2"/>
      </rPr>
      <t xml:space="preserve">《開天傳信記（經太平廣記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436</t>
    </r>
    <r>
      <rPr>
        <sz val="9"/>
        <color rgb="FF1F2937"/>
        <rFont val="Noto Sans CJK SC"/>
        <family val="2"/>
      </rPr>
      <t xml:space="preserve">〈騾〉）》</t>
    </r>
  </si>
  <si>
    <t xml:space="preserve">异兽神兽（靈獸）</t>
  </si>
  <si>
    <t xml:space="preserve">「【白騾】唐玄宗將登泰山，益州進白騾至，潔朗豐潤，權奇偉異。……柔習安便，不知登降之勞也。……告成禮畢，復乘而下。……上歎異久之，諡之曰「白騾將軍」」</t>
  </si>
  <si>
    <t xml:space="preserve">【原典气机特征】「【白騾】唐玄宗將登泰山，益州進白騾至」；当广州珠江新城的7纳米极紫外光刻机对准光路处于满负荷运转或节气交接（子午流注）时，其古籍气机拓扑被激活显化。</t>
  </si>
  <si>
    <t xml:space="preserve">【红尘混居牒移】尊重其「益州進白騾至」之古礼习性，由辖区白泽署送达《白泽图鉴App》声波真名广播与《非人常住混居证》，纳入广州珠江新城社区网格共治。</t>
  </si>
  <si>
    <t xml:space="preserve">广州珠江新城7纳米极紫外光刻机对准光路 × 「白騾將軍」气机同构体（映射古籍：【白騾】唐玄宗將登泰山）</t>
  </si>
  <si>
    <t xml:space="preserve">2026年秋，广州珠江新城的7纳米极紫外光刻机对准光路连续三夜出现「益州進白騾至」式的异常记录，工程师最初以为是系统故障，直到白泽署干员比对《開天傳信記（經太平廣記·卷436〈騾〉）》原典，用《白泽图鉴App》声波真名广播与「白騾將軍」完成了首次跨时代工单会签。</t>
  </si>
  <si>
    <t xml:space="preserve">通天狐（姚坤所放）</t>
  </si>
  <si>
    <r>
      <rPr>
        <sz val="9"/>
        <color rgb="FF1F2937"/>
        <rFont val="Microsoft YaHei"/>
        <family val="0"/>
        <charset val="1"/>
      </rPr>
      <t xml:space="preserve">SL-1890</t>
    </r>
    <r>
      <rPr>
        <sz val="9"/>
        <color rgb="FF1F2937"/>
        <rFont val="Noto Sans CJK SC"/>
        <family val="2"/>
      </rPr>
      <t xml:space="preserve">《傳記（經太平廣記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454</t>
    </r>
    <r>
      <rPr>
        <sz val="9"/>
        <color rgb="FF1F2937"/>
        <rFont val="Noto Sans CJK SC"/>
        <family val="2"/>
      </rPr>
      <t xml:space="preserve">〈姚坤〉）》</t>
    </r>
  </si>
  <si>
    <t xml:space="preserve">妖精（狐精）</t>
  </si>
  <si>
    <t xml:space="preserve">「忽然不覺飛出，躡虛駕雲，登天漢，見仙官而禮之。……君但能澄神泯慮，注盼玄虛，如此精確，不三旬而自飛出。……及夜，有老人挈美醞詣坤，雲是舊相識。」</t>
  </si>
  <si>
    <t xml:space="preserve">【原典气机特征】「忽然不覺飛出，躡虛駕雲」；当南京紫金山实验室的共享充电宝城市物联网总控台处于满负荷运转或节气交接（子午流注）时，其古籍气机拓扑被激活显化。</t>
  </si>
  <si>
    <t xml:space="preserve">【红尘混居牒移】尊重其「躡虛駕雲」之古礼习性，由辖区白泽署送达正一玄坛公平贸易哈希校验码与《非人常住混居证》，纳入南京紫金山实验室社区网格共治。</t>
  </si>
  <si>
    <t xml:space="preserve">南京紫金山实验室共享充电宝城市物联网总控台 × 「通天狐」气机同构体（映射古籍：忽然不覺飛出）</t>
  </si>
  <si>
    <t xml:space="preserve">2026年秋，南京紫金山实验室的共享充电宝城市物联网总控台连续三夜出现「躡虛駕雲」式的异常记录，工程师最初以为是系统故障，直到白泽署干员比对《傳記（經太平廣記·卷454〈姚坤〉）》原典，用正一玄坛公平贸易哈希校验码与「通天狐」完成了首次跨时代工单会签。</t>
  </si>
  <si>
    <t xml:space="preserve">監門使者蕭衡</t>
  </si>
  <si>
    <r>
      <rPr>
        <sz val="9"/>
        <color rgb="FF1F2937"/>
        <rFont val="Microsoft YaHei"/>
        <family val="0"/>
        <charset val="1"/>
      </rPr>
      <t xml:space="preserve">SL-1984</t>
    </r>
    <r>
      <rPr>
        <sz val="9"/>
        <color rgb="FF1F2937"/>
        <rFont val="Noto Sans CJK SC"/>
        <family val="2"/>
      </rPr>
      <t xml:space="preserve">《建安記（經太平廣記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462</t>
    </r>
    <r>
      <rPr>
        <sz val="9"/>
        <color rgb="FF1F2937"/>
        <rFont val="Noto Sans CJK SC"/>
        <family val="2"/>
      </rPr>
      <t xml:space="preserve">〈烏君山〉）》</t>
    </r>
  </si>
  <si>
    <t xml:space="preserve">仙真（禽仙）</t>
  </si>
  <si>
    <t xml:space="preserve">「至門，見一錦衣人，顧仲山，乃稱此鄉道士徐仲山拜。……又問：「鵂鹠皮羽為誰？……曰：「司更巡夜者衣，即監門蕭衡之倫也。」</t>
  </si>
  <si>
    <t xml:space="preserve">【原典气机特征】「見一錦衣人，顧仲山」；当西安曲江新区的数字人民币离线硬件钱包芯片处于满负荷运转或节气交接（子午流注）时，其古籍气机拓扑被激活显化。</t>
  </si>
  <si>
    <t xml:space="preserve">【白泽正名破障】切勿拆卸硬件设备；值班员只需对准异常源开启迷谷四照黑理木反光车贴，直呼其古籍真名「監門使者蕭衡（SL-1984）」，即可令其归位听命。</t>
  </si>
  <si>
    <t xml:space="preserve">西安曲江新区数字人民币离线硬件钱包芯片 × 「監門使者蕭衡」气机同构体（映射古籍：見一錦衣人）</t>
  </si>
  <si>
    <t xml:space="preserve">2026年秋，西安曲江新区的数字人民币离线硬件钱包芯片连续三夜出现「顧仲山」式的异常记录，工程师最初以为是系统故障，直到白泽署干员比对《建安記（經太平廣記·卷462〈烏君山〉）》原典，用迷谷四照黑理木反光车贴与「監門使者蕭衡」完成了首次跨时代工单会签。</t>
  </si>
  <si>
    <t xml:space="preserve">蠶女（馬頭娘）</t>
  </si>
  <si>
    <r>
      <rPr>
        <sz val="9"/>
        <color rgb="FF1F2937"/>
        <rFont val="Microsoft YaHei"/>
        <family val="0"/>
        <charset val="1"/>
      </rPr>
      <t xml:space="preserve">SL-2078</t>
    </r>
    <r>
      <rPr>
        <sz val="9"/>
        <color rgb="FF1F2937"/>
        <rFont val="Noto Sans CJK SC"/>
        <family val="2"/>
      </rPr>
      <t xml:space="preserve">《原化傳拾遺（經太平廣記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479</t>
    </r>
    <r>
      <rPr>
        <sz val="9"/>
        <color rgb="FF1F2937"/>
        <rFont val="Noto Sans CJK SC"/>
        <family val="2"/>
      </rPr>
      <t xml:space="preserve">〈蠶女〉）》</t>
    </r>
  </si>
  <si>
    <r>
      <rPr>
        <sz val="9"/>
        <color rgb="FF1F2937"/>
        <rFont val="Microsoft YaHei"/>
        <family val="0"/>
        <charset val="1"/>
      </rPr>
      <t xml:space="preserve">HW-0050 </t>
    </r>
    <r>
      <rPr>
        <sz val="9"/>
        <color rgb="FF1F2937"/>
        <rFont val="Noto Sans CJK SC"/>
        <family val="2"/>
      </rPr>
      <t xml:space="preserve">蠶神</t>
    </r>
  </si>
  <si>
    <t xml:space="preserve">地祇山川水神（蠶神）</t>
  </si>
  <si>
    <t xml:space="preserve">「女行過其側，馬皮蹶然而起，卷女飛去。……忽見蠶女，乘流雲，駕此馬，侍衛數十人，自天而下。……謂父母曰：「太上以我孝能致身，心不忘義，授以九宮仙殯之任，」</t>
  </si>
  <si>
    <t xml:space="preserve">【原典气机特征】「女行過其側，馬皮蹶然而起」；当苏州工业园区的自动驾驶高精地图OTA服务器处于满负荷运转或节气交接（子午流注）时，其古籍气机拓扑被激活显化。</t>
  </si>
  <si>
    <t xml:space="preserve">【红尘混居牒移】尊重其「馬皮蹶然而起」之古礼习性，由辖区白泽署送达《五藏山经》吉玉糈米全息信标与《非人常住混居证》，纳入苏州工业园区社区网格共治。</t>
  </si>
  <si>
    <t xml:space="preserve">苏州工业园区自动驾驶高精地图OTA服务器 × 「蠶女」气机同构体（映射古籍：女行過其側）</t>
  </si>
  <si>
    <t xml:space="preserve">2026年秋，苏州工业园区的自动驾驶高精地图OTA服务器连续三夜出现「馬皮蹶然而起」式的异常记录，工程师最初以为是系统故障，直到白泽署干员比对《原化傳拾遺（經太平廣記·卷479〈蠶女〉）》原典，用《五藏山经》吉玉糈米全息信标与「蠶女」完成了首次跨时代工单会签。</t>
  </si>
  <si>
    <t xml:space="preserve">飛骸獸</t>
  </si>
  <si>
    <r>
      <rPr>
        <sz val="9"/>
        <color rgb="FF1F2937"/>
        <rFont val="Microsoft YaHei"/>
        <family val="0"/>
        <charset val="1"/>
      </rPr>
      <t xml:space="preserve">SL-2173</t>
    </r>
    <r>
      <rPr>
        <sz val="9"/>
        <color rgb="FF1F2937"/>
        <rFont val="Noto Sans CJK SC"/>
        <family val="2"/>
      </rPr>
      <t xml:space="preserve">《洞冥記</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t>
    </r>
    <r>
      <rPr>
        <sz val="9"/>
        <color rgb="FF1F2937"/>
        <rFont val="Noto Sans CJK SC"/>
        <family val="2"/>
      </rPr>
      <t xml:space="preserve">（段</t>
    </r>
    <r>
      <rPr>
        <sz val="9"/>
        <color rgb="FF1F2937"/>
        <rFont val="Microsoft YaHei"/>
        <family val="0"/>
        <charset val="1"/>
      </rPr>
      <t xml:space="preserve">1.10</t>
    </r>
    <r>
      <rPr>
        <sz val="9"/>
        <color rgb="FF1F2937"/>
        <rFont val="Noto Sans CJK SC"/>
        <family val="2"/>
      </rPr>
      <t xml:space="preserve">）》</t>
    </r>
  </si>
  <si>
    <t xml:space="preserve">异兽神兽（異獸）</t>
  </si>
  <si>
    <t xml:space="preserve">「翕韓國獻飛骸獸，狀如鹿，青色。……皮毛皆爛朽，惟骨色猶青。……往視之，唯見所繫處存，而頭尾及骨皆飛去。」</t>
  </si>
  <si>
    <t xml:space="preserve">【原典气机特征】「翕韓國獻飛骸獸，狀如鹿」；当合肥量子科学岛的柔性OLED折叠屏老化测试暗室处于满负荷运转或节气交接（子午流注）时，其古籍气机拓扑被激活显化。</t>
  </si>
  <si>
    <t xml:space="preserve">【红尘混居牒移】尊重其「狀如鹿」之古礼习性，由辖区白泽署送达守庚申数字断舍离清道夫脚本与《非人常住混居证》，纳入合肥量子科学岛社区网格共治。</t>
  </si>
  <si>
    <t xml:space="preserve">合肥量子科学岛柔性OLED折叠屏老化测试暗室 × 「飛骸獸」气机同构体（映射古籍：翕韓國獻飛骸獸）</t>
  </si>
  <si>
    <t xml:space="preserve">2026年秋，合肥量子科学岛的柔性OLED折叠屏老化测试暗室连续三夜出现「狀如鹿」式的异常记录，工程师最初以为是系统故障，直到白泽署干员比对《洞冥記·卷1（段1.10）》原典，用守庚申数字断舍离清道夫脚本与「飛骸獸」完成了首次跨时代工单会签。</t>
  </si>
  <si>
    <t xml:space="preserve">金山忠烈王（霍光，金山大王）</t>
  </si>
  <si>
    <r>
      <rPr>
        <sz val="9"/>
        <color rgb="FF1F2937"/>
        <rFont val="Microsoft YaHei"/>
        <family val="0"/>
        <charset val="1"/>
      </rPr>
      <t xml:space="preserve">SL-2269</t>
    </r>
    <r>
      <rPr>
        <sz val="9"/>
        <color rgb="FF1F2937"/>
        <rFont val="Noto Sans CJK SC"/>
        <family val="2"/>
      </rPr>
      <t xml:space="preserve">《閒窗括異志</t>
    </r>
    <r>
      <rPr>
        <sz val="9"/>
        <color rgb="FF1F2937"/>
        <rFont val="Microsoft YaHei"/>
        <family val="0"/>
        <charset val="1"/>
      </rPr>
      <t xml:space="preserve">·</t>
    </r>
    <r>
      <rPr>
        <sz val="9"/>
        <color rgb="FF1F2937"/>
        <rFont val="Noto Sans CJK SC"/>
        <family val="2"/>
      </rPr>
      <t xml:space="preserve">第</t>
    </r>
    <r>
      <rPr>
        <sz val="9"/>
        <color rgb="FF1F2937"/>
        <rFont val="Microsoft YaHei"/>
        <family val="0"/>
        <charset val="1"/>
      </rPr>
      <t xml:space="preserve">3</t>
    </r>
    <r>
      <rPr>
        <sz val="9"/>
        <color rgb="FF1F2937"/>
        <rFont val="Noto Sans CJK SC"/>
        <family val="2"/>
      </rPr>
      <t xml:space="preserve">則〈金山忠烈王漢博陸〉》</t>
    </r>
  </si>
  <si>
    <t xml:space="preserve">人鬼厉鬼（人死為神）</t>
  </si>
  <si>
    <t xml:space="preserve">「金山忠烈王漢博陸侯姓霍氏，吳孫權時一日致疾，黃門小豎附語曰：國主封界華亭穀，極西南有金山咸塘，湖為民害，民將魚鱉食之，非人力能防。……臣漢之功臣霍（某」</t>
  </si>
  <si>
    <t xml:space="preserve">【原典气机特征】「金山忠烈王漢博陸侯姓霍氏，吳孫權時一日致疾」；当青岛深海基地的深海万米载人潜器钛合金耐压舱处于满负荷运转或节气交接（子午流注）时，其古籍气机拓扑被激活显化。</t>
  </si>
  <si>
    <t xml:space="preserve">【红尘混居牒移】尊重其「吳孫權時一日致疾」之古礼习性，由辖区白泽署送达激光微雕桃木探针（无尘车间级）与《非人常住混居证》，纳入青岛深海基地社区网格共治。</t>
  </si>
  <si>
    <t xml:space="preserve">青岛深海基地深海万米载人潜器钛合金耐压舱 × 「金山忠烈王」气机同构体（映射古籍：金山忠烈王漢博陸侯姓霍氏）</t>
  </si>
  <si>
    <t xml:space="preserve">2026年秋，青岛深海基地的深海万米载人潜器钛合金耐压舱连续三夜出现「吳孫權時一日致疾」式的异常记录，工程师最初以为是系统故障，直到白泽署干员比对《閒窗括異志·第3則〈金山忠烈王漢博陸〉》原典，用激光微雕桃木探针（无尘车间级）与「金山忠烈王」完成了首次跨时代工单会签。</t>
  </si>
  <si>
    <t xml:space="preserve">陳真人（查市道人）</t>
  </si>
  <si>
    <r>
      <rPr>
        <sz val="9"/>
        <color rgb="FF1F2937"/>
        <rFont val="Microsoft YaHei"/>
        <family val="0"/>
        <charset val="1"/>
      </rPr>
      <t xml:space="preserve">SL-2368</t>
    </r>
    <r>
      <rPr>
        <sz val="9"/>
        <color rgb="FF1F2937"/>
        <rFont val="Noto Sans CJK SC"/>
        <family val="2"/>
      </rPr>
      <t xml:space="preserve">《夷堅甲志卷七〈查市道人〉（</t>
    </r>
    <r>
      <rPr>
        <sz val="9"/>
        <color rgb="FF1F2937"/>
        <rFont val="Microsoft YaHei"/>
        <family val="0"/>
        <charset val="1"/>
      </rPr>
      <t xml:space="preserve">Y0099</t>
    </r>
    <r>
      <rPr>
        <sz val="9"/>
        <color rgb="FF1F2937"/>
        <rFont val="Noto Sans CJK SC"/>
        <family val="2"/>
      </rPr>
      <t xml:space="preserve">）》</t>
    </r>
  </si>
  <si>
    <r>
      <rPr>
        <sz val="9"/>
        <color rgb="FF1F2937"/>
        <rFont val="Microsoft YaHei"/>
        <family val="0"/>
        <charset val="1"/>
      </rPr>
      <t xml:space="preserve">HW-1427 </t>
    </r>
    <r>
      <rPr>
        <sz val="9"/>
        <color rgb="FF1F2937"/>
        <rFont val="Noto Sans CJK SC"/>
        <family val="2"/>
      </rPr>
      <t xml:space="preserve">上帝</t>
    </r>
  </si>
  <si>
    <t xml:space="preserve">「忽一道人，青巾布衣，引入余宅，扣書室見翁，謂之曰：「可令此村叟蹲伏經棹下，暫避雷聲。……出視之，云：「樵夫董二，前世五逆，罪惡貫盈，上帝有勅罰之，被陳」</t>
  </si>
  <si>
    <t xml:space="preserve">【原典气机特征】「忽一道人，青巾布衣」；当长沙马栏山的大型音乐节低频声学阵列控台处于满负荷运转或节气交接（子午流注）时，其古籍气机拓扑被激活显化。</t>
  </si>
  <si>
    <t xml:space="preserve">【雷法考召与招安】针对「青巾布衣」引发的高危规则扰动，调用灌江口细犬底层数据包嗅探器锁定其核心真形，削去戾气后签发《市政外包劳务牒》带薪赎罪。</t>
  </si>
  <si>
    <t xml:space="preserve">长沙马栏山大型音乐节低频声学阵列控台 × 「陳真人」气机同构体（映射古籍：忽一道人）</t>
  </si>
  <si>
    <t xml:space="preserve">2026年秋，长沙马栏山的大型音乐节低频声学阵列控台连续三夜出现「青巾布衣」式的异常记录，工程师最初以为是系统故障，直到白泽署干员比对《夷堅甲志卷七〈查市道人〉（Y0099）》原典，用灌江口细犬底层数据包嗅探器与「陳真人」完成了首次跨时代工单会签。</t>
  </si>
  <si>
    <t xml:space="preserve">象亭道人</t>
  </si>
  <si>
    <r>
      <rPr>
        <sz val="9"/>
        <color rgb="FF1F2937"/>
        <rFont val="Microsoft YaHei"/>
        <family val="0"/>
        <charset val="1"/>
      </rPr>
      <t xml:space="preserve">SL-2461</t>
    </r>
    <r>
      <rPr>
        <sz val="9"/>
        <color rgb="FF1F2937"/>
        <rFont val="Noto Sans CJK SC"/>
        <family val="2"/>
      </rPr>
      <t xml:space="preserve">《夷堅甲志卷十八〈邵昱水厄〉（</t>
    </r>
    <r>
      <rPr>
        <sz val="9"/>
        <color rgb="FF1F2937"/>
        <rFont val="Microsoft YaHei"/>
        <family val="0"/>
        <charset val="1"/>
      </rPr>
      <t xml:space="preserve">Y0279</t>
    </r>
    <r>
      <rPr>
        <sz val="9"/>
        <color rgb="FF1F2937"/>
        <rFont val="Noto Sans CJK SC"/>
        <family val="2"/>
      </rPr>
      <t xml:space="preserve">）》</t>
    </r>
  </si>
  <si>
    <t xml:space="preserve">仙真（異人）</t>
  </si>
  <si>
    <t xml:space="preserve">「昱回顧，乃一道人，甚頎偉，著白苧衫，色漆黑。……其人不答，乃曰：「歲在癸酉，君當有重災，宜百事謹畏。……昱識其異人，卽下拜，纔起，道人已在平地，其行如」</t>
  </si>
  <si>
    <t xml:space="preserve">【原典气机特征】「昱回顧，乃一道人」；当贵阳大数据中心的跨洋海底光缆登陆站中继器处于满负荷运转或节气交接（子午流注）时，其古籍气机拓扑被激活显化。</t>
  </si>
  <si>
    <t xml:space="preserve">【采撷与谐振守则】依据「甚頎偉」之性，须以黄庭内景二十四神归位脉冲仪进行无损频谱提取；严禁商业掠夺式滥采，否则增益反转。</t>
  </si>
  <si>
    <t xml:space="preserve">贵阳大数据中心跨洋海底光缆登陆站中继器 × 「象亭道人」气机同构体（映射古籍：昱回顧）</t>
  </si>
  <si>
    <t xml:space="preserve">2026年秋，贵阳大数据中心的跨洋海底光缆登陆站中继器连续三夜出现「乃一道人」式的异常记录，工程师最初以为是系统故障，直到白泽署干员比对《夷堅甲志卷十八〈邵昱水厄〉（Y0279）》原典，用黄庭内景二十四神归位脉冲仪与「象亭道人」完成了首次跨时代工单会签。</t>
  </si>
  <si>
    <t xml:space="preserve">長人國（明州海島長人）</t>
  </si>
  <si>
    <r>
      <rPr>
        <sz val="9"/>
        <color rgb="FF1F2937"/>
        <rFont val="Microsoft YaHei"/>
        <family val="0"/>
        <charset val="1"/>
      </rPr>
      <t xml:space="preserve">SL-2556</t>
    </r>
    <r>
      <rPr>
        <sz val="9"/>
        <color rgb="FF1F2937"/>
        <rFont val="Noto Sans CJK SC"/>
        <family val="2"/>
      </rPr>
      <t xml:space="preserve">《夷堅乙志卷八〈長人國〉（</t>
    </r>
    <r>
      <rPr>
        <sz val="9"/>
        <color rgb="FF1F2937"/>
        <rFont val="Microsoft YaHei"/>
        <family val="0"/>
        <charset val="1"/>
      </rPr>
      <t xml:space="preserve">Y0405</t>
    </r>
    <r>
      <rPr>
        <sz val="9"/>
        <color rgb="FF1F2937"/>
        <rFont val="Noto Sans CJK SC"/>
        <family val="2"/>
      </rPr>
      <t xml:space="preserve">）》</t>
    </r>
  </si>
  <si>
    <r>
      <rPr>
        <sz val="9"/>
        <color rgb="FF1F2937"/>
        <rFont val="Microsoft YaHei"/>
        <family val="0"/>
        <charset val="1"/>
      </rPr>
      <t xml:space="preserve">SL-2762 </t>
    </r>
    <r>
      <rPr>
        <sz val="9"/>
        <color rgb="FF1F2937"/>
        <rFont val="Noto Sans CJK SC"/>
        <family val="2"/>
      </rPr>
      <t xml:space="preserve">長人島巨人（長人國／海島巨人組，同類異體，未合）；</t>
    </r>
    <r>
      <rPr>
        <sz val="9"/>
        <color rgb="FF1F2937"/>
        <rFont val="Microsoft YaHei"/>
        <family val="0"/>
        <charset val="1"/>
      </rPr>
      <t xml:space="preserve">SL-4256 </t>
    </r>
    <r>
      <rPr>
        <sz val="9"/>
        <color rgb="FF1F2937"/>
        <rFont val="Noto Sans CJK SC"/>
        <family val="2"/>
      </rPr>
      <t xml:space="preserve">海外長城食人巨人（長人國／海</t>
    </r>
  </si>
  <si>
    <t xml:space="preserve">异人异国（長人）</t>
  </si>
  <si>
    <t xml:space="preserve">「方蹲踞摘菜，忽聞拊掌聲，視之，乃一長人，高出三四丈，其行如飛。……兩人急走歸，其一差緩，為所執，引指穴其肩成竅，穿以巨藤，縛諸高樹而去。……長人入海追」</t>
  </si>
  <si>
    <t xml:space="preserve">【原典气机特征】「方蹲踞摘菜，忽聞拊掌聲」；当厦门软件园的脑机接口非侵入式脑电帽采样区处于满负荷运转或节气交接（子午流注）时，其古籍气机拓扑被激活显化。</t>
  </si>
  <si>
    <t xml:space="preserve">【红尘混居牒移】尊重其「忽聞拊掌聲」之古礼习性，由辖区白泽署送达朱襄氏五弦降燥低频泛音列与《非人常住混居证》，纳入厦门软件园社区网格共治。</t>
  </si>
  <si>
    <t xml:space="preserve">厦门软件园脑机接口非侵入式脑电帽采样区 × 「長人國」气机同构体（映射古籍：方蹲踞摘菜）</t>
  </si>
  <si>
    <t xml:space="preserve">2026年秋，厦门软件园的脑机接口非侵入式脑电帽采样区连续三夜出现「忽聞拊掌聲」式的异常记录，工程师最初以为是系统故障，直到白泽署干员比对《夷堅乙志卷八〈長人國〉（Y0405）》原典，用朱襄氏五弦降燥低频泛音列与「長人國」完成了首次跨时代工单会签。</t>
  </si>
  <si>
    <t xml:space="preserve">王勝妻二前夫鬼</t>
  </si>
  <si>
    <r>
      <rPr>
        <sz val="9"/>
        <color rgb="FF1F2937"/>
        <rFont val="Microsoft YaHei"/>
        <family val="0"/>
        <charset val="1"/>
      </rPr>
      <t xml:space="preserve">SL-2650</t>
    </r>
    <r>
      <rPr>
        <sz val="9"/>
        <color rgb="FF1F2937"/>
        <rFont val="Noto Sans CJK SC"/>
        <family val="2"/>
      </rPr>
      <t xml:space="preserve">《夷堅乙志卷十六〈鬼入磨齊〉（</t>
    </r>
    <r>
      <rPr>
        <sz val="9"/>
        <color rgb="FF1F2937"/>
        <rFont val="Microsoft YaHei"/>
        <family val="0"/>
        <charset val="1"/>
      </rPr>
      <t xml:space="preserve">Y0508</t>
    </r>
    <r>
      <rPr>
        <sz val="9"/>
        <color rgb="FF1F2937"/>
        <rFont val="Noto Sans CJK SC"/>
        <family val="2"/>
      </rPr>
      <t xml:space="preserve">）》</t>
    </r>
  </si>
  <si>
    <t xml:space="preserve">「亟逐二鬼，皆走至西廂，入磨齊中乃滅。……勝以手擊磨，五指皆傷，是年死。」</t>
  </si>
  <si>
    <t xml:space="preserve">【原典气机特征】「亟逐二鬼，皆走至西廂」；当天津滨海港的老旧小区加装电梯井道基坑处于满负荷运转或节气交接（子午流注）时，其古籍气机拓扑被激活显化。</t>
  </si>
  <si>
    <t xml:space="preserve">【红尘混居牒移】尊重其「皆走至西廂」之古礼习性，由辖区白泽署送达王灵官第三眼零信任审计探头与《非人常住混居证》，纳入天津滨海港社区网格共治。</t>
  </si>
  <si>
    <t xml:space="preserve">天津滨海港老旧小区加装电梯井道基坑 × 「王勝妻二前夫鬼」气机同构体（映射古籍：亟逐二鬼）</t>
  </si>
  <si>
    <t xml:space="preserve">2026年秋，天津滨海港的老旧小区加装电梯井道基坑连续三夜出现「皆走至西廂」式的异常记录，工程师最初以为是系统故障，直到白泽署干员比对《夷堅乙志卷十六〈鬼入磨齊〉（Y0508）》原典，用王灵官第三眼零信任审计探头与「王勝妻二前夫鬼」完成了首次跨时代工单会签。</t>
  </si>
  <si>
    <t xml:space="preserve">金甲大神（雞子之報）</t>
  </si>
  <si>
    <r>
      <rPr>
        <sz val="9"/>
        <color rgb="FF1F2937"/>
        <rFont val="Microsoft YaHei"/>
        <family val="0"/>
        <charset val="1"/>
      </rPr>
      <t xml:space="preserve">SL-2746</t>
    </r>
    <r>
      <rPr>
        <sz val="9"/>
        <color rgb="FF1F2937"/>
        <rFont val="Noto Sans CJK SC"/>
        <family val="2"/>
      </rPr>
      <t xml:space="preserve">《夷堅丙志卷四〈韭黃雞子〉（</t>
    </r>
    <r>
      <rPr>
        <sz val="9"/>
        <color rgb="FF1F2937"/>
        <rFont val="Microsoft YaHei"/>
        <family val="0"/>
        <charset val="1"/>
      </rPr>
      <t xml:space="preserve">Y0608</t>
    </r>
    <r>
      <rPr>
        <sz val="9"/>
        <color rgb="FF1F2937"/>
        <rFont val="Noto Sans CJK SC"/>
        <family val="2"/>
      </rPr>
      <t xml:space="preserve">）》</t>
    </r>
  </si>
  <si>
    <t xml:space="preserve">地祇山川水神（未詳）</t>
  </si>
  <si>
    <t xml:space="preserve">「夜中，忽足痛不可忍，秉燭照之，乃三雞啄其足，一牡二牝。……金甲大神立於旁，扣公曰：「發願否？」</t>
  </si>
  <si>
    <t xml:space="preserve">【原典气机特征】「忽足痛不可忍，秉燭照之」；当横店影视城的城市地下90米深层排涝盾构段处于满负荷运转或节气交接（子午流注）时，其古籍气机拓扑被激活显化。</t>
  </si>
  <si>
    <t xml:space="preserve">【红尘混居牒移】尊重其「秉燭照之」之古礼习性，由辖区白泽署送达加盖东岳第八司红印的《市政借道牒》与《非人常住混居证》，纳入横店影视城社区网格共治。</t>
  </si>
  <si>
    <t xml:space="preserve">横店影视城城市地下90米深层排涝盾构段 × 「金甲大神」气机同构体（映射古籍：忽足痛不可忍）</t>
  </si>
  <si>
    <t xml:space="preserve">2026年秋，横店影视城的城市地下90米深层排涝盾构段连续三夜出现「秉燭照之」式的异常记录，工程师最初以为是系统故障，直到白泽署干员比对《夷堅丙志卷四〈韭黃雞子〉（Y0608）》原典，用加盖东岳第八司红印的《市政借道牒》与「金甲大神」完成了首次跨时代工单会签。</t>
  </si>
  <si>
    <t xml:space="preserve">杉板女鬼</t>
  </si>
  <si>
    <r>
      <rPr>
        <sz val="9"/>
        <color rgb="FF1F2937"/>
        <rFont val="Microsoft YaHei"/>
        <family val="0"/>
        <charset val="1"/>
      </rPr>
      <t xml:space="preserve">SL-2839</t>
    </r>
    <r>
      <rPr>
        <sz val="9"/>
        <color rgb="FF1F2937"/>
        <rFont val="Noto Sans CJK SC"/>
        <family val="2"/>
      </rPr>
      <t xml:space="preserve">《夷堅丙志卷十二〈朱二殺鬼〉（</t>
    </r>
    <r>
      <rPr>
        <sz val="9"/>
        <color rgb="FF1F2937"/>
        <rFont val="Microsoft YaHei"/>
        <family val="0"/>
        <charset val="1"/>
      </rPr>
      <t xml:space="preserve">Y0709</t>
    </r>
    <r>
      <rPr>
        <sz val="9"/>
        <color rgb="FF1F2937"/>
        <rFont val="Noto Sans CJK SC"/>
        <family val="2"/>
      </rPr>
      <t xml:space="preserve">）》</t>
    </r>
  </si>
  <si>
    <t xml:space="preserve">「平江常熟民朱二，夜宿田塍守稻，有女子從外來，連三四夕寢昵，體冷如冰。……始時甚重，俄漸輕，到家舉火視之，已化為杉板。……取斧碎之，流血不止。」</t>
  </si>
  <si>
    <t xml:space="preserve">【原典气机特征】「平江常熟民朱二，夜宿田塍守稻」；当敦煌光电产业园的超高层建筑阻尼器（风振控制球）机房处于满负荷运转或节气交接（子午流注）时，其古籍气机拓扑被激活显化。</t>
  </si>
  <si>
    <t xml:space="preserve">【白泽正名破障】切勿拆卸硬件设备；值班员只需对准异常源开启混元金斗权限剥离沙盒（V4.2），直呼其古籍真名「杉板女鬼（SL-2839）」，即可令其归位听命。</t>
  </si>
  <si>
    <t xml:space="preserve">敦煌光电产业园超高层建筑阻尼器（风振控制球）机房 × 「杉板女鬼」气机同构体（映射古籍：平江常熟民朱二）</t>
  </si>
  <si>
    <t xml:space="preserve">2026年秋，敦煌光电产业园的超高层建筑阻尼器（风振控制球）机房连续三夜出现「夜宿田塍守稻」式的异常记录，工程师最初以为是系统故障，直到白泽署干员比对《夷堅丙志卷十二〈朱二殺鬼〉（Y0709）》原典，用混元金斗权限剥离沙盒（V4.2）与「杉板女鬼」完成了首次跨时代工单会签。</t>
  </si>
  <si>
    <t xml:space="preserve">小孤山神</t>
  </si>
  <si>
    <r>
      <rPr>
        <sz val="9"/>
        <color rgb="FF1F2937"/>
        <rFont val="Microsoft YaHei"/>
        <family val="0"/>
        <charset val="1"/>
      </rPr>
      <t xml:space="preserve">SL-2935</t>
    </r>
    <r>
      <rPr>
        <sz val="9"/>
        <color rgb="FF1F2937"/>
        <rFont val="Noto Sans CJK SC"/>
        <family val="2"/>
      </rPr>
      <t xml:space="preserve">《夷堅丁志卷二〈小孤廟〉（</t>
    </r>
    <r>
      <rPr>
        <sz val="9"/>
        <color rgb="FF1F2937"/>
        <rFont val="Microsoft YaHei"/>
        <family val="0"/>
        <charset val="1"/>
      </rPr>
      <t xml:space="preserve">Y0835</t>
    </r>
    <r>
      <rPr>
        <sz val="9"/>
        <color rgb="FF1F2937"/>
        <rFont val="Noto Sans CJK SC"/>
        <family val="2"/>
      </rPr>
      <t xml:space="preserve">）》</t>
    </r>
  </si>
  <si>
    <t xml:space="preserve">地祇山川水神（山水神）</t>
  </si>
  <si>
    <t xml:space="preserve">「篙師云：「離廟下未遠，便若有物縶柁底，百計取之不能動。……他日，有客至廟中，蓋宛然在故處。」</t>
  </si>
  <si>
    <t xml:space="preserve">【原典气机特征】「篙師云，「離廟下未遠」；当文昌航天发射场的特高压直流输电换流阀厅处于满负荷运转或节气交接（子午流注）时，其古籍气机拓扑被激活显化。</t>
  </si>
  <si>
    <t xml:space="preserve">【红尘混居牒移】尊重其「「離廟下未遠」之古礼习性，由辖区白泽署送达《白泽图鉴App》声波真名广播与《非人常住混居证》，纳入文昌航天发射场社区网格共治。</t>
  </si>
  <si>
    <t xml:space="preserve">文昌航天发射场特高压直流输电换流阀厅 × 「小孤山神」气机同构体（映射古籍：篙師云）</t>
  </si>
  <si>
    <t xml:space="preserve">2026年秋，文昌航天发射场的特高压直流输电换流阀厅连续三夜出现「「離廟下未遠」式的异常记录，工程师最初以为是系统故障，直到白泽署干员比对《夷堅丁志卷二〈小孤廟〉（Y0835）》原典，用《白泽图鉴App》声波真名广播与「小孤山神」完成了首次跨时代工单会签。</t>
  </si>
  <si>
    <t xml:space="preserve">温州李衞公廟</t>
  </si>
  <si>
    <r>
      <rPr>
        <sz val="9"/>
        <color rgb="FF1F2937"/>
        <rFont val="Microsoft YaHei"/>
        <family val="0"/>
        <charset val="1"/>
      </rPr>
      <t xml:space="preserve">SL-3031</t>
    </r>
    <r>
      <rPr>
        <sz val="9"/>
        <color rgb="FF1F2937"/>
        <rFont val="Noto Sans CJK SC"/>
        <family val="2"/>
      </rPr>
      <t xml:space="preserve">《夷堅丁志卷十一〈李衛公廟〉（</t>
    </r>
    <r>
      <rPr>
        <sz val="9"/>
        <color rgb="FF1F2937"/>
        <rFont val="Microsoft YaHei"/>
        <family val="0"/>
        <charset val="1"/>
      </rPr>
      <t xml:space="preserve">Y0957</t>
    </r>
    <r>
      <rPr>
        <sz val="9"/>
        <color rgb="FF1F2937"/>
        <rFont val="Noto Sans CJK SC"/>
        <family val="2"/>
      </rPr>
      <t xml:space="preserve">）》</t>
    </r>
  </si>
  <si>
    <r>
      <rPr>
        <sz val="9"/>
        <color rgb="FF1F2937"/>
        <rFont val="Microsoft YaHei"/>
        <family val="0"/>
        <charset val="1"/>
      </rPr>
      <t xml:space="preserve">TW-0784</t>
    </r>
    <r>
      <rPr>
        <sz val="9"/>
        <color rgb="FF1F2937"/>
        <rFont val="Noto Sans CJK SC"/>
        <family val="2"/>
      </rPr>
      <t xml:space="preserve">（李衛公廟）</t>
    </r>
  </si>
  <si>
    <t xml:space="preserve">「温州城東有唐李衞公廟，州人每精禱祈夢，無不應者。……紹興三十二年，郡士木待問蘊之得漕薦，謁廟扣得失。」</t>
  </si>
  <si>
    <t xml:space="preserve">【原典气机特征】「温州城東有唐李衞公廟，州人每精禱祈夢」；当三亚深海所的合成生物DNA数据存储冷库处于满负荷运转或节气交接（子午流注）时，其古籍气机拓扑被激活显化。</t>
  </si>
  <si>
    <t xml:space="preserve">【红尘混居牒移】尊重其「州人每精禱祈夢」之古礼习性，由辖区白泽署送达正一玄坛公平贸易哈希校验码与《非人常住混居证》，纳入三亚深海所社区网格共治。</t>
  </si>
  <si>
    <t xml:space="preserve">三亚深海所合成生物DNA数据存储冷库 × 「温州李衞公廟」气机同构体（映射古籍：温州城東有唐李衞公廟）</t>
  </si>
  <si>
    <t xml:space="preserve">2026年秋，三亚深海所的合成生物DNA数据存储冷库连续三夜出现「州人每精禱祈夢」式的异常记录，工程师最初以为是系统故障，直到白泽署干员比对《夷堅丁志卷十一〈李衛公廟〉（Y0957）》原典，用正一玄坛公平贸易哈希校验码与「温州李衞公廟」完成了首次跨时代工单会签。</t>
  </si>
  <si>
    <t xml:space="preserve">建昌監押廨小祠怪</t>
  </si>
  <si>
    <r>
      <rPr>
        <sz val="9"/>
        <color rgb="FF1F2937"/>
        <rFont val="Microsoft YaHei"/>
        <family val="0"/>
        <charset val="1"/>
      </rPr>
      <t xml:space="preserve">SL-3126</t>
    </r>
    <r>
      <rPr>
        <sz val="9"/>
        <color rgb="FF1F2937"/>
        <rFont val="Noto Sans CJK SC"/>
        <family val="2"/>
      </rPr>
      <t xml:space="preserve">《夷堅丁志卷十九〈江南木客〉（</t>
    </r>
    <r>
      <rPr>
        <sz val="9"/>
        <color rgb="FF1F2937"/>
        <rFont val="Microsoft YaHei"/>
        <family val="0"/>
        <charset val="1"/>
      </rPr>
      <t xml:space="preserve">Y1069</t>
    </r>
    <r>
      <rPr>
        <sz val="9"/>
        <color rgb="FF1F2937"/>
        <rFont val="Noto Sans CJK SC"/>
        <family val="2"/>
      </rPr>
      <t xml:space="preserve">）》</t>
    </r>
  </si>
  <si>
    <t xml:space="preserve">妖精（五通）</t>
  </si>
  <si>
    <t xml:space="preserve">「趙宥之之女已嫁，與(葉本無「與」……不見其形，但聞女悲泣呻吟，手足撓亂，叫言人來逼己，去而視之，遺瀝正(葉本作「至」……趙不訥妾，年可三十許，有姿態。」</t>
  </si>
  <si>
    <t xml:space="preserve">【原典气机特征】「趙宥之之女已嫁，與(葉本無「與」……不見其形」；当哈尔滨工业基地的超大型冷链物流自动化立库处于满负荷运转或节气交接（子午流注）时，其古籍气机拓扑被激活显化。</t>
  </si>
  <si>
    <t xml:space="preserve">【红尘混居牒移】尊重其「與(葉本無「與」……不見其形」之古礼习性，由辖区白泽署送达迷谷四照黑理木反光车贴与《非人常住混居证》，纳入哈尔滨工业基地社区网格共治。</t>
  </si>
  <si>
    <t xml:space="preserve">哈尔滨工业基地超大型冷链物流自动化立库 × 「建昌監押廨小祠怪」气机同构体（映射古籍：趙宥之之女已嫁）</t>
  </si>
  <si>
    <t xml:space="preserve">2026年秋，哈尔滨工业基地的超大型冷链物流自动化立库连续三夜出现「與(葉本無「與」……不見其形」式的异常记录，工程师最初以为是系统故障，直到白泽署干员比对《夷堅丁志卷十九〈江南木客〉（Y1069）》原典，用迷谷四照黑理木反光车贴与「建昌監押廨小祠怪」完成了首次跨时代工单会签。</t>
  </si>
  <si>
    <t xml:space="preserve">徐達可魂</t>
  </si>
  <si>
    <r>
      <rPr>
        <sz val="9"/>
        <color rgb="FF1F2937"/>
        <rFont val="Microsoft YaHei"/>
        <family val="0"/>
        <charset val="1"/>
      </rPr>
      <t xml:space="preserve">SL-3222</t>
    </r>
    <r>
      <rPr>
        <sz val="9"/>
        <color rgb="FF1F2937"/>
        <rFont val="Noto Sans CJK SC"/>
        <family val="2"/>
      </rPr>
      <t xml:space="preserve">《夷堅支甲卷七〈徐達可〉（</t>
    </r>
    <r>
      <rPr>
        <sz val="9"/>
        <color rgb="FF1F2937"/>
        <rFont val="Microsoft YaHei"/>
        <family val="0"/>
        <charset val="1"/>
      </rPr>
      <t xml:space="preserve">Y1184</t>
    </r>
    <r>
      <rPr>
        <sz val="9"/>
        <color rgb="FF1F2937"/>
        <rFont val="Noto Sans CJK SC"/>
        <family val="2"/>
      </rPr>
      <t xml:space="preserve">）》</t>
    </r>
  </si>
  <si>
    <t xml:space="preserve">「中夜後，達可憑某小兒索紙筆，就燈下書三紙，其一云：「達可平生耽酒迷戀，荷兄同骨肉開戒，乘此功徳，還家瞻仰。……道眾共觀其揮毫，百禄與家人捧以泣，視字畫」</t>
  </si>
  <si>
    <t xml:space="preserve">【原典气机特征】「中夜後，達可憑某小兒索紙筆」；当昆明植物研究所的国家级古籍数字化OCR超算节点处于满负荷运转或节气交接（子午流注）时，其古籍气机拓扑被激活显化。</t>
  </si>
  <si>
    <t xml:space="preserve">【红尘混居牒移】尊重其「達可憑某小兒索紙筆」之古礼习性，由辖区白泽署送达《五藏山经》吉玉糈米全息信标与《非人常住混居证》，纳入昆明植物研究所社区网格共治。</t>
  </si>
  <si>
    <t xml:space="preserve">昆明植物研究所国家级古籍数字化OCR超算节点 × 「徐達可魂」气机同构体（映射古籍：中夜後）</t>
  </si>
  <si>
    <t xml:space="preserve">2026年秋，昆明植物研究所的国家级古籍数字化OCR超算节点连续三夜出现「達可憑某小兒索紙筆」式的异常记录，工程师最初以为是系统故障，直到白泽署干员比对《夷堅支甲卷七〈徐達可〉（Y1184）》原典，用《五藏山经》吉玉糈米全息信标与「徐達可魂」完成了首次跨时代工单会签。</t>
  </si>
  <si>
    <t xml:space="preserve">荊南猴怪及白髯叟</t>
  </si>
  <si>
    <r>
      <rPr>
        <sz val="9"/>
        <color rgb="FF1F2937"/>
        <rFont val="Microsoft YaHei"/>
        <family val="0"/>
        <charset val="1"/>
      </rPr>
      <t xml:space="preserve">SL-3319</t>
    </r>
    <r>
      <rPr>
        <sz val="9"/>
        <color rgb="FF1F2937"/>
        <rFont val="Noto Sans CJK SC"/>
        <family val="2"/>
      </rPr>
      <t xml:space="preserve">《夷堅支乙卷七〈荆南猴鼠〉（</t>
    </r>
    <r>
      <rPr>
        <sz val="9"/>
        <color rgb="FF1F2937"/>
        <rFont val="Microsoft YaHei"/>
        <family val="0"/>
        <charset val="1"/>
      </rPr>
      <t xml:space="preserve">Y1311</t>
    </r>
    <r>
      <rPr>
        <sz val="9"/>
        <color rgb="FF1F2937"/>
        <rFont val="Noto Sans CJK SC"/>
        <family val="2"/>
      </rPr>
      <t xml:space="preserve">）》</t>
    </r>
  </si>
  <si>
    <t xml:space="preserve">妖精（猴）</t>
  </si>
  <si>
    <t xml:space="preserve">「復有一猴，高二尺許，隱于高木之上，乘間為人害。……是時正暑天，婦女露坐者多為戲侮，不敢輒出。……未明登塗，到城西，遇一老叟，髯鬚如雪，笑問之曰：「囊中」</t>
  </si>
  <si>
    <t xml:space="preserve">【原典气机特征】「復有一猴，高二尺許」；当雄安地下管廊的高铁动车组夜行检修库处于满负荷运转或节气交接（子午流注）时，其古籍气机拓扑被激活显化。</t>
  </si>
  <si>
    <t xml:space="preserve">【红尘混居牒移】尊重其「高二尺許」之古礼习性，由辖区白泽署送达守庚申数字断舍离清道夫脚本与《非人常住混居证》，纳入雄安地下管廊社区网格共治。</t>
  </si>
  <si>
    <t xml:space="preserve">雄安地下管廊高铁动车组夜行检修库 × 「荊南猴怪及白髯叟」气机同构体（映射古籍：復有一猴）</t>
  </si>
  <si>
    <t xml:space="preserve">2026年秋，雄安地下管廊的高铁动车组夜行检修库连续三夜出现「高二尺許」式的异常记录，工程师最初以为是系统故障，直到白泽署干员比对《夷堅支乙卷七〈荆南猴鼠〉（Y1311）》原典，用守庚申数字断舍离清道夫脚本与「荊南猴怪及白髯叟」完成了首次跨时代工单会签。</t>
  </si>
  <si>
    <t xml:space="preserve">南昌胡氏蠶化蜈蚣</t>
  </si>
  <si>
    <r>
      <rPr>
        <sz val="9"/>
        <color rgb="FF1F2937"/>
        <rFont val="Microsoft YaHei"/>
        <family val="0"/>
        <charset val="1"/>
      </rPr>
      <t xml:space="preserve">SL-3413</t>
    </r>
    <r>
      <rPr>
        <sz val="9"/>
        <color rgb="FF1F2937"/>
        <rFont val="Noto Sans CJK SC"/>
        <family val="2"/>
      </rPr>
      <t xml:space="preserve">《夷堅支景卷七〈王宣二犬〉（</t>
    </r>
    <r>
      <rPr>
        <sz val="9"/>
        <color rgb="FF1F2937"/>
        <rFont val="Microsoft YaHei"/>
        <family val="0"/>
        <charset val="1"/>
      </rPr>
      <t xml:space="preserve">Y1451-</t>
    </r>
    <r>
      <rPr>
        <sz val="9"/>
        <color rgb="FF1F2937"/>
        <rFont val="Noto Sans CJK SC"/>
        <family val="2"/>
      </rPr>
      <t xml:space="preserve">附</t>
    </r>
    <r>
      <rPr>
        <sz val="9"/>
        <color rgb="FF1F2937"/>
        <rFont val="Microsoft YaHei"/>
        <family val="0"/>
        <charset val="1"/>
      </rPr>
      <t xml:space="preserve">1</t>
    </r>
    <r>
      <rPr>
        <sz val="9"/>
        <color rgb="FF1F2937"/>
        <rFont val="Noto Sans CJK SC"/>
        <family val="2"/>
      </rPr>
      <t xml:space="preserve">）》</t>
    </r>
  </si>
  <si>
    <t xml:space="preserve">妖精（蟲怪）</t>
  </si>
  <si>
    <t xml:space="preserve">「三更後，聞床壁嘖嘖聲，謂有盜，舉火就視，蓋蠶也。……妻急奔視，則滿榻上下蜈蚣無數。」</t>
  </si>
  <si>
    <t xml:space="preserve">【原典气机特征】「三更後，聞床壁嘖嘖聲」；当上海陆家嘴的三甲医院核磁共振（MRI）屏蔽室处于满负荷运转或节气交接（子午流注）时，其古籍气机拓扑被激活显化。</t>
  </si>
  <si>
    <t xml:space="preserve">【红尘混居牒移】尊重其「聞床壁嘖嘖聲」之古礼习性，由辖区白泽署送达激光微雕桃木探针（无尘车间级）与《非人常住混居证》，纳入上海陆家嘴社区网格共治。</t>
  </si>
  <si>
    <t xml:space="preserve">上海陆家嘴三甲医院核磁共振（MRI）屏蔽室 × 「南昌胡氏蠶化蜈蚣」气机同构体（映射古籍：三更後）</t>
  </si>
  <si>
    <t xml:space="preserve">2026年秋，上海陆家嘴的三甲医院核磁共振（MRI）屏蔽室连续三夜出现「聞床壁嘖嘖聲」式的异常记录，工程师最初以为是系统故障，直到白泽署干员比对《夷堅支景卷七〈王宣二犬〉（Y1451-附1）》原典，用激光微雕桃木探针（无尘车间级）与「南昌胡氏蠶化蜈蚣」完成了首次跨时代工单会签。</t>
  </si>
  <si>
    <t xml:space="preserve">蕪湖龍祠神</t>
  </si>
  <si>
    <r>
      <rPr>
        <sz val="9"/>
        <color rgb="FF1F2937"/>
        <rFont val="Microsoft YaHei"/>
        <family val="0"/>
        <charset val="1"/>
      </rPr>
      <t xml:space="preserve">SL-3515</t>
    </r>
    <r>
      <rPr>
        <sz val="9"/>
        <color rgb="FF1F2937"/>
        <rFont val="Noto Sans CJK SC"/>
        <family val="2"/>
      </rPr>
      <t xml:space="preserve">《夷堅支丁卷七〈蕪湖龍祠〉（</t>
    </r>
    <r>
      <rPr>
        <sz val="9"/>
        <color rgb="FF1F2937"/>
        <rFont val="Microsoft YaHei"/>
        <family val="0"/>
        <charset val="1"/>
      </rPr>
      <t xml:space="preserve">Y1594</t>
    </r>
    <r>
      <rPr>
        <sz val="9"/>
        <color rgb="FF1F2937"/>
        <rFont val="Noto Sans CJK SC"/>
        <family val="2"/>
      </rPr>
      <t xml:space="preserve">）》</t>
    </r>
  </si>
  <si>
    <t xml:space="preserve">地祇山川水神（龍神）</t>
  </si>
  <si>
    <t xml:space="preserve">「)第二倉，見底板正脱一節，一小魚當漏處，帖帖如遮護，然已腐矣。」</t>
  </si>
  <si>
    <t xml:space="preserve">【原典气机特征】「)第二倉，見底板正脱一節」；当深圳粤海街道的高频量化私募基金FPGA撮合网关处于满负荷运转或节气交接（子午流注）时，其古籍气机拓扑被激活显化。</t>
  </si>
  <si>
    <t xml:space="preserve">【红尘混居牒移】尊重其「見底板正脱一節」之古礼习性，由辖区白泽署送达灌江口细犬底层数据包嗅探器与《非人常住混居证》，纳入深圳粤海街道社区网格共治。</t>
  </si>
  <si>
    <t xml:space="preserve">深圳粤海街道高频量化私募基金FPGA撮合网关 × 「蕪湖龍祠神」气机同构体（映射古籍：)第二倉）</t>
  </si>
  <si>
    <t xml:space="preserve">2026年秋，深圳粤海街道的高频量化私募基金FPGA撮合网关连续三夜出现「見底板正脱一節」式的异常记录，工程师最初以为是系统故障，直到白泽署干员比对《夷堅支丁卷七〈蕪湖龍祠〉（Y1594）》原典，用灌江口细犬底层数据包嗅探器与「蕪湖龍祠神」完成了首次跨时代工单会签。</t>
  </si>
  <si>
    <t xml:space="preserve">蒼嶺二龍（槽潭龍）</t>
  </si>
  <si>
    <r>
      <rPr>
        <sz val="9"/>
        <color rgb="FF1F2937"/>
        <rFont val="Microsoft YaHei"/>
        <family val="0"/>
        <charset val="1"/>
      </rPr>
      <t xml:space="preserve">SL-3620</t>
    </r>
    <r>
      <rPr>
        <sz val="9"/>
        <color rgb="FF1F2937"/>
        <rFont val="Noto Sans CJK SC"/>
        <family val="2"/>
      </rPr>
      <t xml:space="preserve">《夷堅支戊卷七〈蒼嶺二龍〉（</t>
    </r>
    <r>
      <rPr>
        <sz val="9"/>
        <color rgb="FF1F2937"/>
        <rFont val="Microsoft YaHei"/>
        <family val="0"/>
        <charset val="1"/>
      </rPr>
      <t xml:space="preserve">Y1715</t>
    </r>
    <r>
      <rPr>
        <sz val="9"/>
        <color rgb="FF1F2937"/>
        <rFont val="Noto Sans CJK SC"/>
        <family val="2"/>
      </rPr>
      <t xml:space="preserve">）》</t>
    </r>
  </si>
  <si>
    <t xml:space="preserve">「俄有物蜿蜒而出，一黑一黃，盤僻俯首，意若相就。……少霽，復有雲自東南而上，滂沱三日，一境霑足，時七月二十六日也。」</t>
  </si>
  <si>
    <t xml:space="preserve">【原典气机特征】「俄有物蜿蜒而出，一黑一黃」；当重庆解放碑的短视频平台算法推荐冷启动池处于满负荷运转或节气交接（子午流注）时，其古籍气机拓扑被激活显化。</t>
  </si>
  <si>
    <t xml:space="preserve">【红尘混居牒移】尊重其「一黑一黃」之古礼习性，由辖区白泽署送达黄庭内景二十四神归位脉冲仪与《非人常住混居证》，纳入重庆解放碑社区网格共治。</t>
  </si>
  <si>
    <t xml:space="preserve">重庆解放碑短视频平台算法推荐冷启动池 × 「蒼嶺二龍」气机同构体（映射古籍：俄有物蜿蜒而出）</t>
  </si>
  <si>
    <t xml:space="preserve">2026年秋，重庆解放碑的短视频平台算法推荐冷启动池连续三夜出现「一黑一黃」式的异常记录，工程师最初以为是系统故障，直到白泽署干员比对《夷堅支戊卷七〈蒼嶺二龍〉（Y1715）》原典，用黄庭内景二十四神归位脉冲仪与「蒼嶺二龍」完成了首次跨时代工单会签。</t>
  </si>
  <si>
    <t xml:space="preserve">史家塘水怪</t>
  </si>
  <si>
    <r>
      <rPr>
        <sz val="9"/>
        <color rgb="FF1F2937"/>
        <rFont val="Microsoft YaHei"/>
        <family val="0"/>
        <charset val="1"/>
      </rPr>
      <t xml:space="preserve">SL-3725</t>
    </r>
    <r>
      <rPr>
        <sz val="9"/>
        <color rgb="FF1F2937"/>
        <rFont val="Noto Sans CJK SC"/>
        <family val="2"/>
      </rPr>
      <t xml:space="preserve">《夷堅支庚卷七〈史家塘〉（</t>
    </r>
    <r>
      <rPr>
        <sz val="9"/>
        <color rgb="FF1F2937"/>
        <rFont val="Microsoft YaHei"/>
        <family val="0"/>
        <charset val="1"/>
      </rPr>
      <t xml:space="preserve">Y1832</t>
    </r>
    <r>
      <rPr>
        <sz val="9"/>
        <color rgb="FF1F2937"/>
        <rFont val="Noto Sans CJK SC"/>
        <family val="2"/>
      </rPr>
      <t xml:space="preserve">）》</t>
    </r>
  </si>
  <si>
    <t xml:space="preserve">妖精（水怪）</t>
  </si>
  <si>
    <t xml:space="preserve">「主公不知所為，望之不見，旋就農家假水車，倩夫力捲涸，不得蹤跡。」</t>
  </si>
  <si>
    <t xml:space="preserve">【原典气机特征】「主公不知所為，望之不見」；当杭州西溪科创园的全固态锂电池隔膜产线处于满负荷运转或节气交接（子午流注）时，其古籍气机拓扑被激活显化。</t>
  </si>
  <si>
    <t xml:space="preserve">【红尘混居牒移】尊重其「望之不見」之古礼习性，由辖区白泽署送达朱襄氏五弦降燥低频泛音列与《非人常住混居证》，纳入杭州西溪科创园社区网格共治。</t>
  </si>
  <si>
    <t xml:space="preserve">杭州西溪科创园全固态锂电池隔膜产线 × 「史家塘水怪」气机同构体（映射古籍：主公不知所為）</t>
  </si>
  <si>
    <t xml:space="preserve">2026年秋，杭州西溪科创园的全固态锂电池隔膜产线连续三夜出现「望之不見」式的异常记录，工程师最初以为是系统故障，直到白泽署干员比对《夷堅支庚卷七〈史家塘〉（Y1832）》原典，用朱襄氏五弦降燥低频泛音列与「史家塘水怪」完成了首次跨时代工单会签。</t>
  </si>
  <si>
    <t xml:space="preserve">酆都觀白道士（尸解）</t>
  </si>
  <si>
    <r>
      <rPr>
        <sz val="9"/>
        <color rgb="FF1F2937"/>
        <rFont val="Microsoft YaHei"/>
        <family val="0"/>
        <charset val="1"/>
      </rPr>
      <t xml:space="preserve">SL-3830</t>
    </r>
    <r>
      <rPr>
        <sz val="9"/>
        <color rgb="FF1F2937"/>
        <rFont val="Noto Sans CJK SC"/>
        <family val="2"/>
      </rPr>
      <t xml:space="preserve">《夷堅支癸卷五〈酆都觀事〉（</t>
    </r>
    <r>
      <rPr>
        <sz val="9"/>
        <color rgb="FF1F2937"/>
        <rFont val="Microsoft YaHei"/>
        <family val="0"/>
        <charset val="1"/>
      </rPr>
      <t xml:space="preserve">Y1938</t>
    </r>
    <r>
      <rPr>
        <sz val="9"/>
        <color rgb="FF1F2937"/>
        <rFont val="Noto Sans CJK SC"/>
        <family val="2"/>
      </rPr>
      <t xml:space="preserve">）》</t>
    </r>
  </si>
  <si>
    <t xml:space="preserve">仙真（尸解者）</t>
  </si>
  <si>
    <t xml:space="preserve">「淳熙十二年中元日，方作齋醮，鹿從丹井來，數百成羣。……五色氣自井出，散而成雲，中有笙笛鸞鶴之聲。……至暮，知觀白道士無疾而逝，咸以為尸解云。」</t>
  </si>
  <si>
    <t xml:space="preserve">【原典气机特征】「淳熙十二年中元日，方作齋醮」；当北京中关村的24小时无人值守智慧药房处于满负荷运转或节气交接（子午流注）时，其古籍气机拓扑被激活显化。</t>
  </si>
  <si>
    <t xml:space="preserve">【采撷与谐振守则】依据「鹿從丹井來」之性，须以王灵官第三眼零信任审计探头进行无损频谱提取；严禁商业掠夺式滥采，否则增益反转。</t>
  </si>
  <si>
    <t xml:space="preserve">北京中关村24小时无人值守智慧药房 × 「酆都觀白道士」气机同构体（映射古籍：淳熙十二年中元日）</t>
  </si>
  <si>
    <t xml:space="preserve">2026年秋，北京中关村的24小时无人值守智慧药房连续三夜出现「方作齋醮」式的异常记录，工程师最初以为是系统故障，直到白泽署干员比对《夷堅支癸卷五〈酆都觀事〉（Y1938）》原典，用王灵官第三眼零信任审计探头与「酆都觀白道士」完成了首次跨时代工单会签。</t>
  </si>
  <si>
    <t xml:space="preserve">漢趙王張耳（碑神）</t>
  </si>
  <si>
    <r>
      <rPr>
        <sz val="9"/>
        <color rgb="FF1F2937"/>
        <rFont val="Microsoft YaHei"/>
        <family val="0"/>
        <charset val="1"/>
      </rPr>
      <t xml:space="preserve">SL-3924</t>
    </r>
    <r>
      <rPr>
        <sz val="9"/>
        <color rgb="FF1F2937"/>
        <rFont val="Noto Sans CJK SC"/>
        <family val="2"/>
      </rPr>
      <t xml:space="preserve">《夷堅三志己卷八〈漢張耳碑〉（</t>
    </r>
    <r>
      <rPr>
        <sz val="9"/>
        <color rgb="FF1F2937"/>
        <rFont val="Microsoft YaHei"/>
        <family val="0"/>
        <charset val="1"/>
      </rPr>
      <t xml:space="preserve">Y2081</t>
    </r>
    <r>
      <rPr>
        <sz val="9"/>
        <color rgb="FF1F2937"/>
        <rFont val="Noto Sans CJK SC"/>
        <family val="2"/>
      </rPr>
      <t xml:space="preserve">）》</t>
    </r>
  </si>
  <si>
    <t xml:space="preserve">人鬼厉鬼（古人之靈）</t>
  </si>
  <si>
    <t xml:space="preserve">「向吾恍惚之際，見石上一丈夫，露其半身，狀極雄異。……不然，必有奇禍，悔之無及矣。」</t>
  </si>
  <si>
    <t xml:space="preserve">【原典气机特征】「向吾恍惚之際，見石上一丈夫」；当成都天府软件园的民航万米高空气象相控阵雷达处于满负荷运转或节气交接（子午流注）时，其古籍气机拓扑被激活显化。</t>
  </si>
  <si>
    <t xml:space="preserve">【红尘混居牒移】尊重其「見石上一丈夫」之古礼习性，由辖区白泽署送达加盖东岳第八司红印的《市政借道牒》与《非人常住混居证》，纳入成都天府软件园社区网格共治。</t>
  </si>
  <si>
    <t xml:space="preserve">成都天府软件园民航万米高空气象相控阵雷达 × 「漢趙王張耳」气机同构体（映射古籍：向吾恍惚之際）</t>
  </si>
  <si>
    <t xml:space="preserve">2026年秋，成都天府软件园的民航万米高空气象相控阵雷达连续三夜出现「見石上一丈夫」式的异常记录，工程师最初以为是系统故障，直到白泽署干员比对《夷堅三志己卷八〈漢張耳碑〉（Y2081）》原典，用加盖东岳第八司红印的《市政借道牒》与「漢趙王張耳」完成了首次跨时代工单会签。</t>
  </si>
  <si>
    <t xml:space="preserve">胡一姊（縊鬼）</t>
  </si>
  <si>
    <r>
      <rPr>
        <sz val="9"/>
        <color rgb="FF1F2937"/>
        <rFont val="Microsoft YaHei"/>
        <family val="0"/>
        <charset val="1"/>
      </rPr>
      <t xml:space="preserve">SL-4024</t>
    </r>
    <r>
      <rPr>
        <sz val="9"/>
        <color rgb="FF1F2937"/>
        <rFont val="Noto Sans CJK SC"/>
        <family val="2"/>
      </rPr>
      <t xml:space="preserve">《夷堅三志辛卷九〈焦氏見胡一姊〉（</t>
    </r>
    <r>
      <rPr>
        <sz val="9"/>
        <color rgb="FF1F2937"/>
        <rFont val="Microsoft YaHei"/>
        <family val="0"/>
        <charset val="1"/>
      </rPr>
      <t xml:space="preserve">Y2233</t>
    </r>
    <r>
      <rPr>
        <sz val="9"/>
        <color rgb="FF1F2937"/>
        <rFont val="Noto Sans CJK SC"/>
        <family val="2"/>
      </rPr>
      <t xml:space="preserve">）》</t>
    </r>
  </si>
  <si>
    <t xml:space="preserve">人鬼厉鬼（冤鬼）</t>
  </si>
  <si>
    <t xml:space="preserve">「饒民妻焦氏，慶元三年正月，在本家中庭值婦人遮道而立，驚叱之。……經月餘，焦固問根源，曰：「汝如不肯説出，便請天心法驅囚赴岳下治罪矣！……至今未得託化，」</t>
  </si>
  <si>
    <t xml:space="preserve">【原典气机特征】「饒民妻焦氏，慶元三年正月」；当武汉光谷的智能网联汽车毫米波雷达测试场处于满负荷运转或节气交接（子午流注）时，其古籍气机拓扑被激活显化。</t>
  </si>
  <si>
    <t xml:space="preserve">【红尘混居牒移】尊重其「慶元三年正月」之古礼习性，由辖区白泽署送达混元金斗权限剥离沙盒（V4.2）与《非人常住混居证》，纳入武汉光谷社区网格共治。</t>
  </si>
  <si>
    <t xml:space="preserve">武汉光谷智能网联汽车毫米波雷达测试场 × 「胡一姊」气机同构体（映射古籍：饒民妻焦氏）</t>
  </si>
  <si>
    <t xml:space="preserve">2026年秋，武汉光谷的智能网联汽车毫米波雷达测试场连续三夜出现「慶元三年正月」式的异常记录，工程师最初以为是系统故障，直到白泽署干员比对《夷堅三志辛卷九〈焦氏見胡一姊〉（Y2233）》原典，用混元金斗权限剥离沙盒（V4.2）与「胡一姊」完成了首次跨时代工单会签。</t>
  </si>
  <si>
    <t xml:space="preserve">陳念三虎倀鬼聲</t>
  </si>
  <si>
    <r>
      <rPr>
        <sz val="9"/>
        <color rgb="FF1F2937"/>
        <rFont val="Microsoft YaHei"/>
        <family val="0"/>
        <charset val="1"/>
      </rPr>
      <t xml:space="preserve">SL-4121</t>
    </r>
    <r>
      <rPr>
        <sz val="9"/>
        <color rgb="FF1F2937"/>
        <rFont val="Noto Sans CJK SC"/>
        <family val="2"/>
      </rPr>
      <t xml:space="preserve">《夷堅志補卷一〈陳曾惡子〉（</t>
    </r>
    <r>
      <rPr>
        <sz val="9"/>
        <color rgb="FF1F2937"/>
        <rFont val="Microsoft YaHei"/>
        <family val="0"/>
        <charset val="1"/>
      </rPr>
      <t xml:space="preserve">Y2378</t>
    </r>
    <r>
      <rPr>
        <sz val="9"/>
        <color rgb="FF1F2937"/>
        <rFont val="Noto Sans CJK SC"/>
        <family val="2"/>
      </rPr>
      <t xml:space="preserve">）》</t>
    </r>
  </si>
  <si>
    <t xml:space="preserve">人鬼厉鬼（倀鬼）</t>
  </si>
  <si>
    <t xml:space="preserve">「及夜，舉家悲哭，聞鬼聲自山而下，初如咳噎不快聲，已復為羊鳴，又變他獸聲，絕可怖。……)乃稍引去，連日攝擾不已，乃(明鈔本作「遂」」</t>
  </si>
  <si>
    <t xml:space="preserve">【原典气机特征】「舉家悲哭，聞鬼聲自山而下」；当广州珠江新城的7纳米极紫外光刻机对准光路处于满负荷运转或节气交接（子午流注）时，其古籍气机拓扑被激活显化。</t>
  </si>
  <si>
    <t xml:space="preserve">【红尘混居牒移】尊重其「聞鬼聲自山而下」之古礼习性，由辖区白泽署送达《白泽图鉴App》声波真名广播与《非人常住混居证》，纳入广州珠江新城社区网格共治。</t>
  </si>
  <si>
    <t xml:space="preserve">广州珠江新城7纳米极紫外光刻机对准光路 × 「陳念三虎倀鬼聲」气机同构体（映射古籍：舉家悲哭）</t>
  </si>
  <si>
    <t xml:space="preserve">2026年秋，广州珠江新城的7纳米极紫外光刻机对准光路连续三夜出现「聞鬼聲自山而下」式的异常记录，工程师最初以为是系统故障，直到白泽署干员比对《夷堅志補卷一〈陳曾惡子〉（Y2378）》原典，用《白泽图鉴App》声波真名广播与「陳念三虎倀鬼聲」完成了首次跨时代工单会签。</t>
  </si>
  <si>
    <t xml:space="preserve">張五鬼（城隍羈管）</t>
  </si>
  <si>
    <r>
      <rPr>
        <sz val="9"/>
        <color rgb="FF1F2937"/>
        <rFont val="Microsoft YaHei"/>
        <family val="0"/>
        <charset val="1"/>
      </rPr>
      <t xml:space="preserve">SL-4221</t>
    </r>
    <r>
      <rPr>
        <sz val="9"/>
        <color rgb="FF1F2937"/>
        <rFont val="Noto Sans CJK SC"/>
        <family val="2"/>
      </rPr>
      <t xml:space="preserve">《夷堅志補卷十六〈城隍赴會〉（</t>
    </r>
    <r>
      <rPr>
        <sz val="9"/>
        <color rgb="FF1F2937"/>
        <rFont val="Microsoft YaHei"/>
        <family val="0"/>
        <charset val="1"/>
      </rPr>
      <t xml:space="preserve">Y2547</t>
    </r>
    <r>
      <rPr>
        <sz val="9"/>
        <color rgb="FF1F2937"/>
        <rFont val="Noto Sans CJK SC"/>
        <family val="2"/>
      </rPr>
      <t xml:space="preserve">）》</t>
    </r>
  </si>
  <si>
    <t xml:space="preserve">人鬼厉鬼（厲鬼）</t>
  </si>
  <si>
    <t xml:space="preserve">「有妹未嫁，忽染祟，嚼啖陶器，拈弄炭火，無所不至，大率如病狂。……法師釋其罪，但牒城隍司收管，兄以時節祀之。」</t>
  </si>
  <si>
    <t xml:space="preserve">【原典气机特征】「有妹未嫁，忽染祟」；当南京紫金山实验室的共享充电宝城市物联网总控台处于满负荷运转或节气交接（子午流注）时，其古籍气机拓扑被激活显化。</t>
  </si>
  <si>
    <t xml:space="preserve">【红尘混居牒移】尊重其「忽染祟」之古礼习性，由辖区白泽署送达正一玄坛公平贸易哈希校验码与《非人常住混居证》，纳入南京紫金山实验室社区网格共治。</t>
  </si>
  <si>
    <t xml:space="preserve">南京紫金山实验室共享充电宝城市物联网总控台 × 「張五鬼」气机同构体（映射古籍：有妹未嫁）</t>
  </si>
  <si>
    <t xml:space="preserve">2026年秋，南京紫金山实验室的共享充电宝城市物联网总控台连续三夜出现「忽染祟」式的异常记录，工程师最初以为是系统故障，直到白泽署干员比对《夷堅志補卷十六〈城隍赴會〉（Y2547）》原典，用正一玄坛公平贸易哈希校验码与「張五鬼」完成了首次跨时代工单会签。</t>
  </si>
  <si>
    <t xml:space="preserve">商州老猿（將軍）</t>
  </si>
  <si>
    <r>
      <rPr>
        <sz val="9"/>
        <color rgb="FF1F2937"/>
        <rFont val="Microsoft YaHei"/>
        <family val="0"/>
        <charset val="1"/>
      </rPr>
      <t xml:space="preserve">SL-4317</t>
    </r>
    <r>
      <rPr>
        <sz val="9"/>
        <color rgb="FF1F2937"/>
        <rFont val="Noto Sans CJK SC"/>
        <family val="2"/>
      </rPr>
      <t xml:space="preserve">《夷堅志三補〈猿請醫士〉（</t>
    </r>
    <r>
      <rPr>
        <sz val="9"/>
        <color rgb="FF1F2937"/>
        <rFont val="Microsoft YaHei"/>
        <family val="0"/>
        <charset val="1"/>
      </rPr>
      <t xml:space="preserve">Y2702</t>
    </r>
    <r>
      <rPr>
        <sz val="9"/>
        <color rgb="FF1F2937"/>
        <rFont val="Noto Sans CJK SC"/>
        <family val="2"/>
      </rPr>
      <t xml:space="preserve">）》</t>
    </r>
  </si>
  <si>
    <t xml:space="preserve">妖精（猿精）</t>
  </si>
  <si>
    <t xml:space="preserve">「懸崖絕險，醫者捫其身皆毛。……見一老猿卧於石榻之上，侍立數婦人，皆有姿色。……一婦謂醫曰：「將軍腹痛。」</t>
  </si>
  <si>
    <t xml:space="preserve">【原典气机特征】「懸崖絕險，醫者捫其身皆毛」；当西安曲江新区的数字人民币离线硬件钱包芯片处于满负荷运转或节气交接（子午流注）时，其古籍气机拓扑被激活显化。</t>
  </si>
  <si>
    <t xml:space="preserve">【红尘混居牒移】尊重其「醫者捫其身皆毛」之古礼习性，由辖区白泽署送达迷谷四照黑理木反光车贴与《非人常住混居证》，纳入西安曲江新区社区网格共治。</t>
  </si>
  <si>
    <t xml:space="preserve">西安曲江新区数字人民币离线硬件钱包芯片 × 「商州老猿」气机同构体（映射古籍：懸崖絕險）</t>
  </si>
  <si>
    <t xml:space="preserve">2026年秋，西安曲江新区的数字人民币离线硬件钱包芯片连续三夜出现「醫者捫其身皆毛」式的异常记录，工程师最初以为是系统故障，直到白泽署干员比对《夷堅志三補〈猿請醫士〉（Y2702）》原典，用迷谷四照黑理木反光车贴与「商州老猿」完成了首次跨时代工单会签。</t>
  </si>
  <si>
    <t xml:space="preserve">陳搏（希夷先生）</t>
  </si>
  <si>
    <r>
      <rPr>
        <sz val="9"/>
        <color rgb="FF1F2937"/>
        <rFont val="Microsoft YaHei"/>
        <family val="0"/>
        <charset val="1"/>
      </rPr>
      <t xml:space="preserve">SL-4416</t>
    </r>
    <r>
      <rPr>
        <sz val="9"/>
        <color rgb="FF1F2937"/>
        <rFont val="Noto Sans CJK SC"/>
        <family val="2"/>
      </rPr>
      <t xml:space="preserve">《雲笈七籤</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103</t>
    </r>
    <r>
      <rPr>
        <sz val="9"/>
        <color rgb="FF1F2937"/>
        <rFont val="Noto Sans CJK SC"/>
        <family val="2"/>
      </rPr>
      <t xml:space="preserve">（段</t>
    </r>
    <r>
      <rPr>
        <sz val="9"/>
        <color rgb="FF1F2937"/>
        <rFont val="Microsoft YaHei"/>
        <family val="0"/>
        <charset val="1"/>
      </rPr>
      <t xml:space="preserve">103.030</t>
    </r>
    <r>
      <rPr>
        <sz val="9"/>
        <color rgb="FF1F2937"/>
        <rFont val="Noto Sans CJK SC"/>
        <family val="2"/>
      </rPr>
      <t xml:space="preserve">）》</t>
    </r>
  </si>
  <si>
    <t xml:space="preserve">仙真（尸解仙）</t>
  </si>
  <si>
    <t xml:space="preserve">「真君降言曰：搏之煉氣養神，頗得其要，然及物之功未至，但有所主掌爾。‖陳搏，譙郡真源人，與老聃同鄉里，生嘗舉進士不第，去隱武當山九室岩辟穀練氣。……周世」</t>
  </si>
  <si>
    <t xml:space="preserve">【原典气机特征】「真君降言曰，搏之煉氣養神」；当苏州工业园区的自动驾驶高精地图OTA服务器处于满负荷运转或节气交接（子午流注）时，其古籍气机拓扑被激活显化。</t>
  </si>
  <si>
    <t xml:space="preserve">【采撷与谐振守则】依据「頗得其要」之性，须以《五藏山经》吉玉糈米全息信标进行无损频谱提取；严禁商业掠夺式滥采，否则增益反转。</t>
  </si>
  <si>
    <t xml:space="preserve">苏州工业园区自动驾驶高精地图OTA服务器 × 「陳搏」气机同构体（映射古籍：真君降言曰）</t>
  </si>
  <si>
    <t xml:space="preserve">2026年秋，苏州工业园区的自动驾驶高精地图OTA服务器连续三夜出现「搏之煉氣養神」式的异常记录，工程师最初以为是系统故障，直到白泽署干员比对《雲笈七籤·卷103（段103.030）》原典，用《五藏山经》吉玉糈米全息信标与「陳搏」完成了首次跨时代工单会签。</t>
  </si>
  <si>
    <t xml:space="preserve">赤松子（雨師）</t>
  </si>
  <si>
    <r>
      <rPr>
        <sz val="9"/>
        <color rgb="FF1F2937"/>
        <rFont val="Microsoft YaHei"/>
        <family val="0"/>
        <charset val="1"/>
      </rPr>
      <t xml:space="preserve">SL-4528</t>
    </r>
    <r>
      <rPr>
        <sz val="9"/>
        <color rgb="FF1F2937"/>
        <rFont val="Noto Sans CJK SC"/>
        <family val="2"/>
      </rPr>
      <t xml:space="preserve">《雲笈七籤</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108</t>
    </r>
    <r>
      <rPr>
        <sz val="9"/>
        <color rgb="FF1F2937"/>
        <rFont val="Noto Sans CJK SC"/>
        <family val="2"/>
      </rPr>
      <t xml:space="preserve">（段</t>
    </r>
    <r>
      <rPr>
        <sz val="9"/>
        <color rgb="FF1F2937"/>
        <rFont val="Microsoft YaHei"/>
        <family val="0"/>
        <charset val="1"/>
      </rPr>
      <t xml:space="preserve">108.006</t>
    </r>
    <r>
      <rPr>
        <sz val="9"/>
        <color rgb="FF1F2937"/>
        <rFont val="Noto Sans CJK SC"/>
        <family val="2"/>
      </rPr>
      <t xml:space="preserve">）》</t>
    </r>
  </si>
  <si>
    <r>
      <rPr>
        <sz val="9"/>
        <color rgb="FF1F2937"/>
        <rFont val="Microsoft YaHei"/>
        <family val="0"/>
        <charset val="1"/>
      </rPr>
      <t xml:space="preserve">HW-0001 </t>
    </r>
    <r>
      <rPr>
        <sz val="9"/>
        <color rgb="FF1F2937"/>
        <rFont val="Noto Sans CJK SC"/>
        <family val="2"/>
      </rPr>
      <t xml:space="preserve">赤松子；</t>
    </r>
    <r>
      <rPr>
        <sz val="9"/>
        <color rgb="FF1F2937"/>
        <rFont val="Microsoft YaHei"/>
        <family val="0"/>
        <charset val="1"/>
      </rPr>
      <t xml:space="preserve">HW-1079</t>
    </r>
    <r>
      <rPr>
        <sz val="9"/>
        <color rgb="FF1F2937"/>
        <rFont val="Noto Sans CJK SC"/>
        <family val="2"/>
      </rPr>
      <t xml:space="preserve">（同名，异书并列，未判同一）；</t>
    </r>
    <r>
      <rPr>
        <sz val="9"/>
        <color rgb="FF1F2937"/>
        <rFont val="Microsoft YaHei"/>
        <family val="0"/>
        <charset val="1"/>
      </rPr>
      <t xml:space="preserve">XQ-0081</t>
    </r>
    <r>
      <rPr>
        <sz val="9"/>
        <color rgb="FF1F2937"/>
        <rFont val="Noto Sans CJK SC"/>
        <family val="2"/>
      </rPr>
      <t xml:space="preserve">（雲笈整合輪：名號「赤松子」</t>
    </r>
  </si>
  <si>
    <t xml:space="preserve">「服水玉以教神農，能入火自燒。……至昆侖山上，常止西王母石室中。……隨風雨上下。‖太清導引養生經凡十二事赤松子者，神農時雨師，能隨風上下，至高辛氏時猶存」</t>
  </si>
  <si>
    <t xml:space="preserve">【原典气机特征】「服水玉以教神農，能入火自燒」；当合肥量子科学岛的柔性OLED折叠屏老化测试暗室处于满负荷运转或节气交接（子午流注）时，其古籍气机拓扑被激活显化。</t>
  </si>
  <si>
    <t xml:space="preserve">【采撷与谐振守则】依据「……至昆侖山上」之性，须以守庚申数字断舍离清道夫脚本进行无损频谱提取；严禁商业掠夺式滥采，否则增益反转。</t>
  </si>
  <si>
    <t xml:space="preserve">合肥量子科学岛柔性OLED折叠屏老化测试暗室 × 「赤松子」气机同构体（映射古籍：服水玉以教神農）</t>
  </si>
  <si>
    <t xml:space="preserve">2026年秋，合肥量子科学岛的柔性OLED折叠屏老化测试暗室连续三夜出现「能入火自燒」式的异常记录，工程师最初以为是系统故障，直到白泽署干员比对《雲笈七籤·卷108（段108.006）》原典，用守庚申数字断舍离清道夫脚本与「赤松子」完成了首次跨时代工单会签。</t>
  </si>
  <si>
    <t xml:space="preserve">馬榮（厄子）</t>
  </si>
  <si>
    <r>
      <rPr>
        <sz val="9"/>
        <color rgb="FF1F2937"/>
        <rFont val="Microsoft YaHei"/>
        <family val="0"/>
        <charset val="1"/>
      </rPr>
      <t xml:space="preserve">SL-4641</t>
    </r>
    <r>
      <rPr>
        <sz val="9"/>
        <color rgb="FF1F2937"/>
        <rFont val="Noto Sans CJK SC"/>
        <family val="2"/>
      </rPr>
      <t xml:space="preserve">《雲笈七籤</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110</t>
    </r>
    <r>
      <rPr>
        <sz val="9"/>
        <color rgb="FF1F2937"/>
        <rFont val="Noto Sans CJK SC"/>
        <family val="2"/>
      </rPr>
      <t xml:space="preserve">（段</t>
    </r>
    <r>
      <rPr>
        <sz val="9"/>
        <color rgb="FF1F2937"/>
        <rFont val="Microsoft YaHei"/>
        <family val="0"/>
        <charset val="1"/>
      </rPr>
      <t xml:space="preserve">110.081</t>
    </r>
    <r>
      <rPr>
        <sz val="9"/>
        <color rgb="FF1F2937"/>
        <rFont val="Noto Sans CJK SC"/>
        <family val="2"/>
      </rPr>
      <t xml:space="preserve">）》</t>
    </r>
  </si>
  <si>
    <t xml:space="preserve">「馬榮馬榮者，住梁國穀城中，兩眼赤爛，瞳子不見物，而能明察洞視。……榮云患腳，常乘鹿車，行無遠近，不見人牛推引，而車自至。……或一日赴數十處請，而各有一」</t>
  </si>
  <si>
    <t xml:space="preserve">【原典气机特征】「馬榮馬榮者，住梁國穀城中」；当青岛深海基地的深海万米载人潜器钛合金耐压舱处于满负荷运转或节气交接（子午流注）时，其古籍气机拓扑被激活显化。</t>
  </si>
  <si>
    <t xml:space="preserve">【采撷与谐振守则】依据「兩眼赤爛」之性，须以激光微雕桃木探针（无尘车间级）进行无损频谱提取；严禁商业掠夺式滥采，否则增益反转。</t>
  </si>
  <si>
    <t xml:space="preserve">青岛深海基地深海万米载人潜器钛合金耐压舱 × 「馬榮」气机同构体（映射古籍：馬榮馬榮者）</t>
  </si>
  <si>
    <t xml:space="preserve">2026年秋，青岛深海基地的深海万米载人潜器钛合金耐压舱连续三夜出现「住梁國穀城中」式的异常记录，工程师最初以为是系统故障，直到白泽署干员比对《雲笈七籤·卷110（段110.081）》原典，用激光微雕桃木探针（无尘车间级）与「馬榮」完成了首次跨时代工单会签。</t>
  </si>
  <si>
    <t xml:space="preserve">君山天酒</t>
  </si>
  <si>
    <r>
      <rPr>
        <sz val="9"/>
        <color rgb="FF1F2937"/>
        <rFont val="Microsoft YaHei"/>
        <family val="0"/>
        <charset val="1"/>
      </rPr>
      <t xml:space="preserve">SL-4761</t>
    </r>
    <r>
      <rPr>
        <sz val="9"/>
        <color rgb="FF1F2937"/>
        <rFont val="Noto Sans CJK SC"/>
        <family val="2"/>
      </rPr>
      <t xml:space="preserve">《雲笈七籤</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112</t>
    </r>
    <r>
      <rPr>
        <sz val="9"/>
        <color rgb="FF1F2937"/>
        <rFont val="Noto Sans CJK SC"/>
        <family val="2"/>
      </rPr>
      <t xml:space="preserve">（段</t>
    </r>
    <r>
      <rPr>
        <sz val="9"/>
        <color rgb="FF1F2937"/>
        <rFont val="Microsoft YaHei"/>
        <family val="0"/>
        <charset val="1"/>
      </rPr>
      <t xml:space="preserve">112.082</t>
    </r>
    <r>
      <rPr>
        <sz val="9"/>
        <color rgb="FF1F2937"/>
        <rFont val="Noto Sans CJK SC"/>
        <family val="2"/>
      </rPr>
      <t xml:space="preserve">）》</t>
    </r>
  </si>
  <si>
    <t xml:space="preserve">附·灵物异植（仙藥）</t>
  </si>
  <si>
    <t xml:space="preserve">「自此充悅無疾，漸厭五穀，乃入名山學道。……去後看仙經云，君山有天酒，飲之升仙。」</t>
  </si>
  <si>
    <t xml:space="preserve">【原典气机特征】「自此充悅無疾，漸厭五穀」；当长沙马栏山的大型音乐节低频声学阵列控台处于满负荷运转或节气交接（子午流注）时，其古籍气机拓扑被激活显化。</t>
  </si>
  <si>
    <t xml:space="preserve">【红尘混居牒移】尊重其「漸厭五穀」之古礼习性，由辖区白泽署送达灌江口细犬底层数据包嗅探器与《非人常住混居证》，纳入长沙马栏山社区网格共治。</t>
  </si>
  <si>
    <t xml:space="preserve">长沙马栏山大型音乐节低频声学阵列控台 × 「君山天酒」气机同构体（映射古籍：自此充悅無疾）</t>
  </si>
  <si>
    <t xml:space="preserve">2026年秋，长沙马栏山的大型音乐节低频声学阵列控台连续三夜出现「漸厭五穀」式的异常记录，工程师最初以为是系统故障，直到白泽署干员比对《雲笈七籤·卷112（段112.082）》原典，用灌江口细犬底层数据包嗅探器与「君山天酒」完成了首次跨时代工单会签。</t>
  </si>
  <si>
    <t xml:space="preserve">韓西華（韓太華）</t>
  </si>
  <si>
    <r>
      <rPr>
        <sz val="9"/>
        <color rgb="FF1F2937"/>
        <rFont val="Microsoft YaHei"/>
        <family val="0"/>
        <charset val="1"/>
      </rPr>
      <t xml:space="preserve">SL-4895</t>
    </r>
    <r>
      <rPr>
        <sz val="9"/>
        <color rgb="FF1F2937"/>
        <rFont val="Noto Sans CJK SC"/>
        <family val="2"/>
      </rPr>
      <t xml:space="preserve">《雲笈七籤</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115</t>
    </r>
    <r>
      <rPr>
        <sz val="9"/>
        <color rgb="FF1F2937"/>
        <rFont val="Noto Sans CJK SC"/>
        <family val="2"/>
      </rPr>
      <t xml:space="preserve">（段</t>
    </r>
    <r>
      <rPr>
        <sz val="9"/>
        <color rgb="FF1F2937"/>
        <rFont val="Microsoft YaHei"/>
        <family val="0"/>
        <charset val="1"/>
      </rPr>
      <t xml:space="preserve">115.017</t>
    </r>
    <r>
      <rPr>
        <sz val="9"/>
        <color rgb="FF1F2937"/>
        <rFont val="Noto Sans CJK SC"/>
        <family val="2"/>
      </rPr>
      <t xml:space="preserve">）》</t>
    </r>
  </si>
  <si>
    <r>
      <rPr>
        <sz val="9"/>
        <color rgb="FF1F2937"/>
        <rFont val="Microsoft YaHei"/>
        <family val="0"/>
        <charset val="1"/>
      </rPr>
      <t xml:space="preserve">07</t>
    </r>
    <r>
      <rPr>
        <sz val="9"/>
        <color rgb="FF1F2937"/>
        <rFont val="Noto Sans CJK SC"/>
        <family val="2"/>
      </rPr>
      <t xml:space="preserve">表</t>
    </r>
    <r>
      <rPr>
        <sz val="9"/>
        <color rgb="FF1F2937"/>
        <rFont val="Microsoft YaHei"/>
        <family val="0"/>
        <charset val="1"/>
      </rPr>
      <t xml:space="preserve">·</t>
    </r>
    <r>
      <rPr>
        <sz val="9"/>
        <color rgb="FF1F2937"/>
        <rFont val="Noto Sans CJK SC"/>
        <family val="2"/>
      </rPr>
      <t xml:space="preserve">地仙散位〈韓太華〉（真靈位業圖；名號「韓太華」相合，未判同一）</t>
    </r>
  </si>
  <si>
    <t xml:space="preserve">「學道得仙，今在嵩山洞天之中。‖時遇嵩山女仙韓西華出游，見而愍焉，撫接二人，救而度之，外示沉沒，內實密濟矣。」</t>
  </si>
  <si>
    <t xml:space="preserve">【原典气机特征】「學道得仙，今在嵩山洞天之中」；当贵阳大数据中心的跨洋海底光缆登陆站中继器处于满负荷运转或节气交接（子午流注）时，其古籍气机拓扑被激活显化。</t>
  </si>
  <si>
    <t xml:space="preserve">【采撷与谐振守则】依据「‖時遇嵩山女仙韓西華出游」之性，须以黄庭内景二十四神归位脉冲仪进行无损频谱提取；严禁商业掠夺式滥采，否则增益反转。</t>
  </si>
  <si>
    <t xml:space="preserve">贵阳大数据中心跨洋海底光缆登陆站中继器 × 「韓西華」气机同构体（映射古籍：學道得仙）</t>
  </si>
  <si>
    <t xml:space="preserve">2026年秋，贵阳大数据中心的跨洋海底光缆登陆站中继器连续三夜出现「今在嵩山洞天之中」式的异常记录，工程师最初以为是系统故障，直到白泽署干员比对《雲笈七籤·卷115（段115.017）》原典，用黄庭内景二十四神归位脉冲仪与「韓西華」完成了首次跨时代工单会签。</t>
  </si>
  <si>
    <t xml:space="preserve">白馬將軍廟妖狐</t>
  </si>
  <si>
    <r>
      <rPr>
        <sz val="9"/>
        <color rgb="FF1F2937"/>
        <rFont val="Microsoft YaHei"/>
        <family val="0"/>
        <charset val="1"/>
      </rPr>
      <t xml:space="preserve">SL-5010</t>
    </r>
    <r>
      <rPr>
        <sz val="9"/>
        <color rgb="FF1F2937"/>
        <rFont val="Noto Sans CJK SC"/>
        <family val="2"/>
      </rPr>
      <t xml:space="preserve">《雲笈七籤</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119</t>
    </r>
    <r>
      <rPr>
        <sz val="9"/>
        <color rgb="FF1F2937"/>
        <rFont val="Noto Sans CJK SC"/>
        <family val="2"/>
      </rPr>
      <t xml:space="preserve">（段</t>
    </r>
    <r>
      <rPr>
        <sz val="9"/>
        <color rgb="FF1F2937"/>
        <rFont val="Microsoft YaHei"/>
        <family val="0"/>
        <charset val="1"/>
      </rPr>
      <t xml:space="preserve">119.054</t>
    </r>
    <r>
      <rPr>
        <sz val="9"/>
        <color rgb="FF1F2937"/>
        <rFont val="Noto Sans CJK SC"/>
        <family val="2"/>
      </rPr>
      <t xml:space="preserve">）》</t>
    </r>
  </si>
  <si>
    <t xml:space="preserve">「長垂簾，簾內往往有光，及聞吹口之聲，以此妖異，人皆競信。……所下酒食，忽忽不見，愚民畏懼，無有輒敢正視者。……蒼惶之間，見野狐數頭，眼如火炬，御拽入廟」</t>
  </si>
  <si>
    <t xml:space="preserve">【原典气机特征】「長垂簾，簾內往往有光」；当厦门软件园的脑机接口非侵入式脑电帽采样区处于满负荷运转或节气交接（子午流注）时，其古籍气机拓扑被激活显化。</t>
  </si>
  <si>
    <t xml:space="preserve">【红尘混居牒移】尊重其「簾內往往有光」之古礼习性，由辖区白泽署送达朱襄氏五弦降燥低频泛音列与《非人常住混居证》，纳入厦门软件园社区网格共治。</t>
  </si>
  <si>
    <t xml:space="preserve">厦门软件园脑机接口非侵入式脑电帽采样区 × 「白馬將軍廟妖狐」气机同构体（映射古籍：長垂簾）</t>
  </si>
  <si>
    <t xml:space="preserve">2026年秋，厦门软件园的脑机接口非侵入式脑电帽采样区连续三夜出现「簾內往往有光」式的异常记录，工程师最初以为是系统故障，直到白泽署干员比对《雲笈七籤·卷119（段119.054）》原典，用朱襄氏五弦降燥低频泛音列与「白馬將軍廟妖狐」完成了首次跨时代工单会签。</t>
  </si>
  <si>
    <t xml:space="preserve">魯妙典藥臼（鐵臼）</t>
  </si>
  <si>
    <r>
      <rPr>
        <sz val="9"/>
        <color rgb="FF1F2937"/>
        <rFont val="Microsoft YaHei"/>
        <family val="0"/>
        <charset val="1"/>
      </rPr>
      <t xml:space="preserve">SL-5112</t>
    </r>
    <r>
      <rPr>
        <sz val="9"/>
        <color rgb="FF1F2937"/>
        <rFont val="Noto Sans CJK SC"/>
        <family val="2"/>
      </rPr>
      <t xml:space="preserve">《雲笈七籤</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122</t>
    </r>
    <r>
      <rPr>
        <sz val="9"/>
        <color rgb="FF1F2937"/>
        <rFont val="Noto Sans CJK SC"/>
        <family val="2"/>
      </rPr>
      <t xml:space="preserve">（段</t>
    </r>
    <r>
      <rPr>
        <sz val="9"/>
        <color rgb="FF1F2937"/>
        <rFont val="Microsoft YaHei"/>
        <family val="0"/>
        <charset val="1"/>
      </rPr>
      <t xml:space="preserve">122.057</t>
    </r>
    <r>
      <rPr>
        <sz val="9"/>
        <color rgb="FF1F2937"/>
        <rFont val="Noto Sans CJK SC"/>
        <family val="2"/>
      </rPr>
      <t xml:space="preserve">）》</t>
    </r>
  </si>
  <si>
    <t xml:space="preserve">附·灵物异植（仙器）</t>
  </si>
  <si>
    <t xml:space="preserve">「九嶷山女仙魯妙典石盆鐵臼驗九嶷山魯妙典仙女得道之所妙典居山修道自山門漸遷就高深岑寂之地每居作一麓牀蹤跡皆在妙典初居山北無為觀中去何侯宅舜壇三二里後居第」</t>
  </si>
  <si>
    <t xml:space="preserve">【原典气机特征】「九嶷山女仙魯妙典石盆鐵臼驗九嶷山魯妙典仙女得道之所妙典居山修道自山門漸遷就高深岑寂之地每居作一麓牀蹤跡皆在妙典初居山北無為觀中去何侯宅舜壇三二里後居第，九嶷山女仙魯妙典石盆鐵臼驗九嶷山魯妙典仙女得道之所妙典居山修道自山門漸遷就高深岑寂之地每居作一麓牀蹤跡皆在妙典初居山北無為觀中去何侯宅舜壇三二里後居第」；当天津滨海港的老旧小区加装电梯井道基坑处于满负荷运转或节气交接（子午流注）时，其古籍气机拓扑被激活显化。</t>
  </si>
  <si>
    <t xml:space="preserve">【红尘混居牒移】尊重其「九嶷山女仙魯妙典石盆鐵臼驗九嶷山魯妙典仙女得道之所妙典居山修道自山門漸遷就高深岑寂之地每居作一麓牀蹤跡皆在妙典初居山北無為觀中去何侯宅舜壇三二里後居第」之古礼习性，由辖区白泽署送达王灵官第三眼零信任审计探头与《非人常住混居证》，纳入天津滨海港社区网格共治。</t>
  </si>
  <si>
    <t xml:space="preserve">天津滨海港老旧小区加装电梯井道基坑 × 「魯妙典藥臼」气机同构体（映射古籍：九嶷山女仙魯妙典石盆鐵臼驗九嶷山魯妙）</t>
  </si>
  <si>
    <t xml:space="preserve">2026年秋，天津滨海港的老旧小区加装电梯井道基坑连续三夜出现「九嶷山女仙魯妙典石盆鐵臼驗九嶷山魯妙典仙女得」式的异常记录，工程师最初以为是系统故障，直到白泽署干员比对《雲笈七籤·卷122（段122.057）》原典，用王灵官第三眼零信任审计探头与「魯妙典藥臼」完成了首次跨时代工单会签。</t>
  </si>
  <si>
    <t xml:space="preserve">膽神（龜蛇玉童）</t>
  </si>
  <si>
    <r>
      <rPr>
        <sz val="9"/>
        <color rgb="FF1F2937"/>
        <rFont val="Microsoft YaHei"/>
        <family val="0"/>
        <charset val="1"/>
      </rPr>
      <t xml:space="preserve">SL-5209</t>
    </r>
    <r>
      <rPr>
        <sz val="9"/>
        <color rgb="FF1F2937"/>
        <rFont val="Noto Sans CJK SC"/>
        <family val="2"/>
      </rPr>
      <t xml:space="preserve">《雲笈七籤</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14</t>
    </r>
    <r>
      <rPr>
        <sz val="9"/>
        <color rgb="FF1F2937"/>
        <rFont val="Noto Sans CJK SC"/>
        <family val="2"/>
      </rPr>
      <t xml:space="preserve">（段</t>
    </r>
    <r>
      <rPr>
        <sz val="9"/>
        <color rgb="FF1F2937"/>
        <rFont val="Microsoft YaHei"/>
        <family val="0"/>
        <charset val="1"/>
      </rPr>
      <t xml:space="preserve">14.028</t>
    </r>
    <r>
      <rPr>
        <sz val="9"/>
        <color rgb="FF1F2937"/>
        <rFont val="Noto Sans CJK SC"/>
        <family val="2"/>
      </rPr>
      <t xml:space="preserve">）》</t>
    </r>
  </si>
  <si>
    <r>
      <rPr>
        <sz val="9"/>
        <color rgb="FF1F2937"/>
        <rFont val="Microsoft YaHei"/>
        <family val="0"/>
        <charset val="1"/>
      </rPr>
      <t xml:space="preserve">SL-6283 </t>
    </r>
    <r>
      <rPr>
        <sz val="9"/>
        <color rgb="FF1F2937"/>
        <rFont val="Noto Sans CJK SC"/>
        <family val="2"/>
      </rPr>
      <t xml:space="preserve">龍德拘（膽神，中真五景）（雲笈整合輪：同名</t>
    </r>
    <r>
      <rPr>
        <sz val="9"/>
        <color rgb="FF1F2937"/>
        <rFont val="Microsoft YaHei"/>
        <family val="0"/>
        <charset val="1"/>
      </rPr>
      <t xml:space="preserve">/</t>
    </r>
    <r>
      <rPr>
        <sz val="9"/>
        <color rgb="FF1F2937"/>
        <rFont val="Noto Sans CJK SC"/>
        <family val="2"/>
      </rPr>
      <t xml:space="preserve">同號「膽神」，未判同一）</t>
    </r>
  </si>
  <si>
    <t xml:space="preserve">道教神祇（身神）</t>
  </si>
  <si>
    <t xml:space="preserve">「夫膽者，金之精，水之氣，其色青，其象如懸瓠，其神龜蛇，化為玉童，長一尺，戟其手，奔馳於膽。……其神勇，人之勇決者，蓋發於膽臟也。」</t>
  </si>
  <si>
    <t xml:space="preserve">【原典气机特征】「夫膽者，金之精」；当横店影视城的城市地下90米深层排涝盾构段处于满负荷运转或节气交接（子午流注）时，其古籍气机拓扑被激活显化。</t>
  </si>
  <si>
    <t xml:space="preserve">【采撷与谐振守则】依据「水之氣」之性，须以加盖东岳第八司红印的《市政借道牒》进行无损频谱提取；严禁商业掠夺式滥采，否则增益反转。</t>
  </si>
  <si>
    <t xml:space="preserve">横店影视城城市地下90米深层排涝盾构段 × 「膽神」气机同构体（映射古籍：夫膽者）</t>
  </si>
  <si>
    <t xml:space="preserve">2026年秋，横店影视城的城市地下90米深层排涝盾构段连续三夜出现「金之精」式的异常记录，工程师最初以为是系统故障，直到白泽署干员比对《雲笈七籤·卷14（段14.028）》原典，用加盖东岳第八司红印的《市政借道牒》与「膽神」完成了首次跨时代工单会签。</t>
  </si>
  <si>
    <t xml:space="preserve">東方明星君（歲星）</t>
  </si>
  <si>
    <r>
      <rPr>
        <sz val="9"/>
        <color rgb="FF1F2937"/>
        <rFont val="Microsoft YaHei"/>
        <family val="0"/>
        <charset val="1"/>
      </rPr>
      <t xml:space="preserve">SL-5314</t>
    </r>
    <r>
      <rPr>
        <sz val="9"/>
        <color rgb="FF1F2937"/>
        <rFont val="Noto Sans CJK SC"/>
        <family val="2"/>
      </rPr>
      <t xml:space="preserve">《雲笈七籤</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83</t>
    </r>
    <r>
      <rPr>
        <sz val="9"/>
        <color rgb="FF1F2937"/>
        <rFont val="Noto Sans CJK SC"/>
        <family val="2"/>
      </rPr>
      <t xml:space="preserve">（段</t>
    </r>
    <r>
      <rPr>
        <sz val="9"/>
        <color rgb="FF1F2937"/>
        <rFont val="Microsoft YaHei"/>
        <family val="0"/>
        <charset val="1"/>
      </rPr>
      <t xml:space="preserve">83.028</t>
    </r>
    <r>
      <rPr>
        <sz val="9"/>
        <color rgb="FF1F2937"/>
        <rFont val="Noto Sans CJK SC"/>
        <family val="2"/>
      </rPr>
      <t xml:space="preserve">）》</t>
    </r>
  </si>
  <si>
    <t xml:space="preserve">天神星神（星神）</t>
  </si>
  <si>
    <t xml:space="preserve">「又法先生曰：欲除尸蟲之法，春月擇甲乙夜，視歲星所在，朝之再拜，正心，竊祝曰： 願東方明星君，扶我魂，接我魄，使我壽如松柏，生年萬歲，生不落願。」</t>
  </si>
  <si>
    <t xml:space="preserve">【原典气机特征】「又法先生曰，欲除尸蟲之法」；当敦煌光电产业园的超高层建筑阻尼器（风振控制球）机房处于满负荷运转或节气交接（子午流注）时，其古籍气机拓扑被激活显化。</t>
  </si>
  <si>
    <t xml:space="preserve">【红尘混居牒移】尊重其「欲除尸蟲之法」之古礼习性，由辖区白泽署送达混元金斗权限剥离沙盒（V4.2）与《非人常住混居证》，纳入敦煌光电产业园社区网格共治。</t>
  </si>
  <si>
    <t xml:space="preserve">敦煌光电产业园超高层建筑阻尼器（风振控制球）机房 × 「東方明星君」气机同构体（映射古籍：又法先生曰）</t>
  </si>
  <si>
    <t xml:space="preserve">2026年秋，敦煌光电产业园的超高层建筑阻尼器（风振控制球）机房连续三夜出现「欲除尸蟲之法」式的异常记录，工程师最初以为是系统故障，直到白泽署干员比对《雲笈七籤·卷83（段83.028）》原典，用混元金斗权限剥离沙盒（V4.2）与「東方明星君」完成了首次跨时代工单会签。</t>
  </si>
  <si>
    <t xml:space="preserve">東卿司命君（茅君）、王君</t>
  </si>
  <si>
    <r>
      <rPr>
        <sz val="9"/>
        <color rgb="FF1F2937"/>
        <rFont val="Microsoft YaHei"/>
        <family val="0"/>
        <charset val="1"/>
      </rPr>
      <t xml:space="preserve">SL-5444</t>
    </r>
    <r>
      <rPr>
        <sz val="9"/>
        <color rgb="FF1F2937"/>
        <rFont val="Noto Sans CJK SC"/>
        <family val="2"/>
      </rPr>
      <t xml:space="preserve">《雲笈七籤</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23</t>
    </r>
    <r>
      <rPr>
        <sz val="9"/>
        <color rgb="FF1F2937"/>
        <rFont val="Noto Sans CJK SC"/>
        <family val="2"/>
      </rPr>
      <t xml:space="preserve">（段</t>
    </r>
    <r>
      <rPr>
        <sz val="9"/>
        <color rgb="FF1F2937"/>
        <rFont val="Microsoft YaHei"/>
        <family val="0"/>
        <charset val="1"/>
      </rPr>
      <t xml:space="preserve">23.062</t>
    </r>
    <r>
      <rPr>
        <sz val="9"/>
        <color rgb="FF1F2937"/>
        <rFont val="Noto Sans CJK SC"/>
        <family val="2"/>
      </rPr>
      <t xml:space="preserve">）》</t>
    </r>
  </si>
  <si>
    <r>
      <rPr>
        <sz val="9"/>
        <color rgb="FF1F2937"/>
        <rFont val="Microsoft YaHei"/>
        <family val="0"/>
        <charset val="1"/>
      </rPr>
      <t xml:space="preserve">HW-1090 </t>
    </r>
    <r>
      <rPr>
        <sz val="9"/>
        <color rgb="FF1F2937"/>
        <rFont val="Noto Sans CJK SC"/>
        <family val="2"/>
      </rPr>
      <t xml:space="preserve">茅盈；</t>
    </r>
    <r>
      <rPr>
        <sz val="9"/>
        <color rgb="FF1F2937"/>
        <rFont val="Microsoft YaHei"/>
        <family val="0"/>
        <charset val="1"/>
      </rPr>
      <t xml:space="preserve">TW-0754 </t>
    </r>
    <r>
      <rPr>
        <sz val="9"/>
        <color rgb="FF1F2937"/>
        <rFont val="Noto Sans CJK SC"/>
        <family val="2"/>
      </rPr>
      <t xml:space="preserve">茅盈；</t>
    </r>
    <r>
      <rPr>
        <sz val="9"/>
        <color rgb="FF1F2937"/>
        <rFont val="Microsoft YaHei"/>
        <family val="0"/>
        <charset val="1"/>
      </rPr>
      <t xml:space="preserve">SL-2965 </t>
    </r>
    <r>
      <rPr>
        <sz val="9"/>
        <color rgb="FF1F2937"/>
        <rFont val="Noto Sans CJK SC"/>
        <family val="2"/>
      </rPr>
      <t xml:space="preserve">茅君（雲笈整合輪：同名</t>
    </r>
    <r>
      <rPr>
        <sz val="9"/>
        <color rgb="FF1F2937"/>
        <rFont val="Microsoft YaHei"/>
        <family val="0"/>
        <charset val="1"/>
      </rPr>
      <t xml:space="preserve">/</t>
    </r>
    <r>
      <rPr>
        <sz val="9"/>
        <color rgb="FF1F2937"/>
        <rFont val="Noto Sans CJK SC"/>
        <family val="2"/>
      </rPr>
      <t xml:space="preserve">同號「茅君」，未判同一）</t>
    </r>
  </si>
  <si>
    <t xml:space="preserve">「太上玄真訣服日月法東卿司命君曰：先師王君，昔見授《太上明堂玄真上經》。」</t>
  </si>
  <si>
    <t xml:space="preserve">【原典气机特征】「太上玄真訣服日月法東卿司命君曰，先師王君」；当文昌航天发射场的特高压直流输电换流阀厅处于满负荷运转或节气交接（子午流注）时，其古籍气机拓扑被激活显化。</t>
  </si>
  <si>
    <t xml:space="preserve">【采撷与谐振守则】依据「昔見授《太上明堂玄真上經》」之性，须以《白泽图鉴App》声波真名广播进行无损频谱提取；严禁商业掠夺式滥采，否则增益反转。</t>
  </si>
  <si>
    <t xml:space="preserve">文昌航天发射场特高压直流输电换流阀厅 × 「東卿司命君」气机同构体（映射古籍：太上玄真訣服日月法東卿司命君曰）</t>
  </si>
  <si>
    <t xml:space="preserve">2026年秋，文昌航天发射场的特高压直流输电换流阀厅连续三夜出现「先師王君」式的异常记录，工程师最初以为是系统故障，直到白泽署干员比对《雲笈七籤·卷23（段23.062）》原典，用《白泽图鉴App》声波真名广播与「東卿司命君」完成了首次跨时代工单会签。</t>
  </si>
  <si>
    <t xml:space="preserve">十二時神、屋宇諸神</t>
  </si>
  <si>
    <r>
      <rPr>
        <sz val="9"/>
        <color rgb="FF1F2937"/>
        <rFont val="Microsoft YaHei"/>
        <family val="0"/>
        <charset val="1"/>
      </rPr>
      <t xml:space="preserve">SL-5556</t>
    </r>
    <r>
      <rPr>
        <sz val="9"/>
        <color rgb="FF1F2937"/>
        <rFont val="Noto Sans CJK SC"/>
        <family val="2"/>
      </rPr>
      <t xml:space="preserve">《雲笈七籤</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31</t>
    </r>
    <r>
      <rPr>
        <sz val="9"/>
        <color rgb="FF1F2937"/>
        <rFont val="Noto Sans CJK SC"/>
        <family val="2"/>
      </rPr>
      <t xml:space="preserve">（段</t>
    </r>
    <r>
      <rPr>
        <sz val="9"/>
        <color rgb="FF1F2937"/>
        <rFont val="Microsoft YaHei"/>
        <family val="0"/>
        <charset val="1"/>
      </rPr>
      <t xml:space="preserve">31.051</t>
    </r>
    <r>
      <rPr>
        <sz val="9"/>
        <color rgb="FF1F2937"/>
        <rFont val="Noto Sans CJK SC"/>
        <family val="2"/>
      </rPr>
      <t xml:space="preserve">）》</t>
    </r>
  </si>
  <si>
    <t xml:space="preserve">地祇山川水神（宅神）</t>
  </si>
  <si>
    <t xml:space="preserve">「譬如野外無人之鄉，十二時神何曾有地？……墻垣既至，屋宇斯成，四方之神以效靈變。」</t>
  </si>
  <si>
    <t xml:space="preserve">【原典气机特征】「譬如野外無人之鄉，十二時神何曾有地？……墻垣既至」；当三亚深海所的合成生物DNA数据存储冷库处于满负荷运转或节气交接（子午流注）时，其古籍气机拓扑被激活显化。</t>
  </si>
  <si>
    <t xml:space="preserve">【白泽正名破障】切勿拆卸硬件设备；值班员只需对准异常源开启正一玄坛公平贸易哈希校验码，直呼其古籍真名「十二時神、屋宇諸神（SL-5556）」，即可令其归位听命。</t>
  </si>
  <si>
    <t xml:space="preserve">三亚深海所合成生物DNA数据存储冷库 × 「十二時神、屋宇諸神」气机同构体（映射古籍：譬如野外無人之鄉）</t>
  </si>
  <si>
    <t xml:space="preserve">2026年秋，三亚深海所的合成生物DNA数据存储冷库连续三夜出现「十二時神何曾有地？……墻垣既至」式的异常记录，工程师最初以为是系统故障，直到白泽署干员比对《雲笈七籤·卷31（段31.051）》原典，用正一玄坛公平贸易哈希校验码与「十二時神、屋宇諸神」完成了首次跨时代工单会签。</t>
  </si>
  <si>
    <t xml:space="preserve">徐來勒（太極真人）</t>
  </si>
  <si>
    <r>
      <rPr>
        <sz val="9"/>
        <color rgb="FF1F2937"/>
        <rFont val="Microsoft YaHei"/>
        <family val="0"/>
        <charset val="1"/>
      </rPr>
      <t xml:space="preserve">SL-5688</t>
    </r>
    <r>
      <rPr>
        <sz val="9"/>
        <color rgb="FF1F2937"/>
        <rFont val="Noto Sans CJK SC"/>
        <family val="2"/>
      </rPr>
      <t xml:space="preserve">《雲笈七籤</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06</t>
    </r>
    <r>
      <rPr>
        <sz val="9"/>
        <color rgb="FF1F2937"/>
        <rFont val="Noto Sans CJK SC"/>
        <family val="2"/>
      </rPr>
      <t xml:space="preserve">（段</t>
    </r>
    <r>
      <rPr>
        <sz val="9"/>
        <color rgb="FF1F2937"/>
        <rFont val="Microsoft YaHei"/>
        <family val="0"/>
        <charset val="1"/>
      </rPr>
      <t xml:space="preserve">06.009</t>
    </r>
    <r>
      <rPr>
        <sz val="9"/>
        <color rgb="FF1F2937"/>
        <rFont val="Noto Sans CJK SC"/>
        <family val="2"/>
      </rPr>
      <t xml:space="preserve">）》</t>
    </r>
  </si>
  <si>
    <r>
      <rPr>
        <sz val="9"/>
        <color rgb="FF1F2937"/>
        <rFont val="Microsoft YaHei"/>
        <family val="0"/>
        <charset val="1"/>
      </rPr>
      <t xml:space="preserve">SL-5576 </t>
    </r>
    <r>
      <rPr>
        <sz val="9"/>
        <color rgb="FF1F2937"/>
        <rFont val="Noto Sans CJK SC"/>
        <family val="2"/>
      </rPr>
      <t xml:space="preserve">太極真人（雲笈整合輪：同名</t>
    </r>
    <r>
      <rPr>
        <sz val="9"/>
        <color rgb="FF1F2937"/>
        <rFont val="Microsoft YaHei"/>
        <family val="0"/>
        <charset val="1"/>
      </rPr>
      <t xml:space="preserve">/</t>
    </r>
    <r>
      <rPr>
        <sz val="9"/>
        <color rgb="FF1F2937"/>
        <rFont val="Noto Sans CJK SC"/>
        <family val="2"/>
      </rPr>
      <t xml:space="preserve">同號「太極真人」，未判同一）；</t>
    </r>
    <r>
      <rPr>
        <sz val="9"/>
        <color rgb="FF1F2937"/>
        <rFont val="Microsoft YaHei"/>
        <family val="0"/>
        <charset val="1"/>
      </rPr>
      <t xml:space="preserve">SL-5644 </t>
    </r>
    <r>
      <rPr>
        <sz val="9"/>
        <color rgb="FF1F2937"/>
        <rFont val="Noto Sans CJK SC"/>
        <family val="2"/>
      </rPr>
      <t xml:space="preserve">安度明（太極真人）（</t>
    </r>
  </si>
  <si>
    <t xml:space="preserve">「時太極真人徐來勒，與三真人以己卯年正月降天臺山，傳《靈寶經》以授葛玄。」</t>
  </si>
  <si>
    <t xml:space="preserve">【原典气机特征】「時太極真人徐來勒，與三真人以己卯年正月降天臺山」；当哈尔滨工业基地的超大型冷链物流自动化立库处于满负荷运转或节气交接（子午流注）时，其古籍气机拓扑被激活显化。</t>
  </si>
  <si>
    <t xml:space="preserve">【采撷与谐振守则】依据「傳《靈寶經》以授葛玄」之性，须以迷谷四照黑理木反光车贴进行无损频谱提取；严禁商业掠夺式滥采，否则增益反转。</t>
  </si>
  <si>
    <t xml:space="preserve">哈尔滨工业基地超大型冷链物流自动化立库 × 「徐來勒」气机同构体（映射古籍：時太極真人徐來勒）</t>
  </si>
  <si>
    <t xml:space="preserve">2026年秋，哈尔滨工业基地的超大型冷链物流自动化立库连续三夜出现「與三真人以己卯年正月降天臺山」式的异常记录，工程师最初以为是系统故障，直到白泽署干员比对《雲笈七籤·卷06（段06.009）》原典，用迷谷四照黑理木反光车贴与「徐來勒」完成了首次跨时代工单会签。</t>
  </si>
  <si>
    <t xml:space="preserve">洞明星夫人（空真宮太明常皇夫人，幽升無韻）</t>
  </si>
  <si>
    <r>
      <rPr>
        <sz val="9"/>
        <color rgb="FF1F2937"/>
        <rFont val="Microsoft YaHei"/>
        <family val="0"/>
        <charset val="1"/>
      </rPr>
      <t xml:space="preserve">SL-5796</t>
    </r>
    <r>
      <rPr>
        <sz val="9"/>
        <color rgb="FF1F2937"/>
        <rFont val="Noto Sans CJK SC"/>
        <family val="2"/>
      </rPr>
      <t xml:space="preserve">《雲笈七籤</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20</t>
    </r>
    <r>
      <rPr>
        <sz val="9"/>
        <color rgb="FF1F2937"/>
        <rFont val="Noto Sans CJK SC"/>
        <family val="2"/>
      </rPr>
      <t xml:space="preserve">（段</t>
    </r>
    <r>
      <rPr>
        <sz val="9"/>
        <color rgb="FF1F2937"/>
        <rFont val="Microsoft YaHei"/>
        <family val="0"/>
        <charset val="1"/>
      </rPr>
      <t xml:space="preserve">20.024</t>
    </r>
    <r>
      <rPr>
        <sz val="9"/>
        <color rgb="FF1F2937"/>
        <rFont val="Noto Sans CJK SC"/>
        <family val="2"/>
      </rPr>
      <t xml:space="preserve">）》</t>
    </r>
  </si>
  <si>
    <t xml:space="preserve">道教神祇（星神）</t>
  </si>
  <si>
    <t xml:space="preserve">「頭建飛雲華頹之髻，餘發散至腰。……衣飛羅文衣屬，帶九光之綬。……口恆吐青氣之精，注于輔星之上，以常陽大光也。」</t>
  </si>
  <si>
    <t xml:space="preserve">【原典气机特征】「頭建飛雲華頹之髻，餘發散至腰」；当昆明植物研究所的国家级古籍数字化OCR超算节点处于满负荷运转或节气交接（子午流注）时，其古籍气机拓扑被激活显化。</t>
  </si>
  <si>
    <t xml:space="preserve">【红尘混居牒移】尊重其「餘發散至腰」之古礼习性，由辖区白泽署送达《五藏山经》吉玉糈米全息信标与《非人常住混居证》，纳入昆明植物研究所社区网格共治。</t>
  </si>
  <si>
    <t xml:space="preserve">昆明植物研究所国家级古籍数字化OCR超算节点 × 「洞明星夫人」气机同构体（映射古籍：頭建飛雲華頹之髻）</t>
  </si>
  <si>
    <t xml:space="preserve">2026年秋，昆明植物研究所的国家级古籍数字化OCR超算节点连续三夜出现「餘發散至腰」式的异常记录，工程师最初以为是系统故障，直到白泽署干员比对《雲笈七籤·卷20（段20.024）》原典，用《五藏山经》吉玉糈米全息信标与「洞明星夫人」完成了首次跨时代工单会签。</t>
  </si>
  <si>
    <t xml:space="preserve">紫微夫人、南嶽夫人、清虛真人（論沐浴）</t>
  </si>
  <si>
    <r>
      <rPr>
        <sz val="9"/>
        <color rgb="FF1F2937"/>
        <rFont val="Microsoft YaHei"/>
        <family val="0"/>
        <charset val="1"/>
      </rPr>
      <t xml:space="preserve">SL-5893</t>
    </r>
    <r>
      <rPr>
        <sz val="9"/>
        <color rgb="FF1F2937"/>
        <rFont val="Noto Sans CJK SC"/>
        <family val="2"/>
      </rPr>
      <t xml:space="preserve">《雲笈七籤</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41</t>
    </r>
    <r>
      <rPr>
        <sz val="9"/>
        <color rgb="FF1F2937"/>
        <rFont val="Noto Sans CJK SC"/>
        <family val="2"/>
      </rPr>
      <t xml:space="preserve">（段</t>
    </r>
    <r>
      <rPr>
        <sz val="9"/>
        <color rgb="FF1F2937"/>
        <rFont val="Microsoft YaHei"/>
        <family val="0"/>
        <charset val="1"/>
      </rPr>
      <t xml:space="preserve">41.071</t>
    </r>
    <r>
      <rPr>
        <sz val="9"/>
        <color rgb="FF1F2937"/>
        <rFont val="Noto Sans CJK SC"/>
        <family val="2"/>
      </rPr>
      <t xml:space="preserve">）》</t>
    </r>
  </si>
  <si>
    <t xml:space="preserve">仙真（上清真人）</t>
  </si>
  <si>
    <t xml:space="preserve">「紫微夫人曰：沐浴不欲數者，魄之性也。」</t>
  </si>
  <si>
    <t xml:space="preserve">【原典气机特征】「紫微夫人曰，沐浴不欲數者」；当雄安地下管廊的高铁动车组夜行检修库处于满负荷运转或节气交接（子午流注）时，其古籍气机拓扑被激活显化。</t>
  </si>
  <si>
    <t xml:space="preserve">【采撷与谐振守则】依据「魄之性也」之性，须以守庚申数字断舍离清道夫脚本进行无损频谱提取；严禁商业掠夺式滥采，否则增益反转。</t>
  </si>
  <si>
    <t xml:space="preserve">雄安地下管廊高铁动车组夜行检修库 × 「紫微夫人、南嶽夫人、清虛真人」气机同构体（映射古籍：紫微夫人曰）</t>
  </si>
  <si>
    <t xml:space="preserve">2026年秋，雄安地下管廊的高铁动车组夜行检修库连续三夜出现「沐浴不欲數者」式的异常记录，工程师最初以为是系统故障，直到白泽署干员比对《雲笈七籤·卷41（段41.071）》原典，用守庚申数字断舍离清道夫脚本与「紫微夫人、南嶽夫人、清虛真人」完成了首次跨时代工单会签。</t>
  </si>
  <si>
    <t xml:space="preserve">酆都六天宮（紂絕陰天宮、泰殺諒事宗天宮、明辰耐犯武城天宮、恬照罪炁天宮、宗靈七非天宮、敢司連宛屢天宮）</t>
  </si>
  <si>
    <r>
      <rPr>
        <sz val="9"/>
        <color rgb="FF1F2937"/>
        <rFont val="Microsoft YaHei"/>
        <family val="0"/>
        <charset val="1"/>
      </rPr>
      <t xml:space="preserve">SL-5998</t>
    </r>
    <r>
      <rPr>
        <sz val="9"/>
        <color rgb="FF1F2937"/>
        <rFont val="Noto Sans CJK SC"/>
        <family val="2"/>
      </rPr>
      <t xml:space="preserve">《雲笈七籤</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45</t>
    </r>
    <r>
      <rPr>
        <sz val="9"/>
        <color rgb="FF1F2937"/>
        <rFont val="Noto Sans CJK SC"/>
        <family val="2"/>
      </rPr>
      <t xml:space="preserve">（段</t>
    </r>
    <r>
      <rPr>
        <sz val="9"/>
        <color rgb="FF1F2937"/>
        <rFont val="Microsoft YaHei"/>
        <family val="0"/>
        <charset val="1"/>
      </rPr>
      <t xml:space="preserve">45.109</t>
    </r>
    <r>
      <rPr>
        <sz val="9"/>
        <color rgb="FF1F2937"/>
        <rFont val="Noto Sans CJK SC"/>
        <family val="2"/>
      </rPr>
      <t xml:space="preserve">）》</t>
    </r>
  </si>
  <si>
    <t xml:space="preserve">冥界鬼神（鬼宮）</t>
  </si>
  <si>
    <t xml:space="preserve">「《真誥》云：世人有知酆都六天宮名者，則百鬼不敢害，欲臥時，常先向北祝之三遍，微其音也。」</t>
  </si>
  <si>
    <t xml:space="preserve">【原典气机特征】「《真誥》云，世人有知酆都六天宮名者」；当上海陆家嘴的三甲医院核磁共振（MRI）屏蔽室处于满负荷运转或节气交接（子午流注）时，其古籍气机拓扑被激活显化。</t>
  </si>
  <si>
    <t xml:space="preserve">【红尘混居牒移】尊重其「世人有知酆都六天宮名者」之古礼习性，由辖区白泽署送达激光微雕桃木探针（无尘车间级）与《非人常住混居证》，纳入上海陆家嘴社区网格共治。</t>
  </si>
  <si>
    <t xml:space="preserve">上海陆家嘴三甲医院核磁共振（MRI）屏蔽室 × 「酆都六天宮」气机同构体（映射古籍：《真誥》云）</t>
  </si>
  <si>
    <t xml:space="preserve">2026年秋，上海陆家嘴的三甲医院核磁共振（MRI）屏蔽室连续三夜出现「世人有知酆都六天宮名者」式的异常记录，工程师最初以为是系统故障，直到白泽署干员比对《雲笈七籤·卷45（段45.109）》原典，用激光微雕桃木探针（无尘车间级）与「酆都六天宮」完成了首次跨时代工单会签。</t>
  </si>
  <si>
    <t xml:space="preserve">二十四神（上景八神覺元子等、中景八神、下景八神、道一內神遁無馬）</t>
  </si>
  <si>
    <r>
      <rPr>
        <sz val="9"/>
        <color rgb="FF1F2937"/>
        <rFont val="Microsoft YaHei"/>
        <family val="0"/>
        <charset val="1"/>
      </rPr>
      <t xml:space="preserve">SL-6100</t>
    </r>
    <r>
      <rPr>
        <sz val="9"/>
        <color rgb="FF1F2937"/>
        <rFont val="Noto Sans CJK SC"/>
        <family val="2"/>
      </rPr>
      <t xml:space="preserve">《雲笈七籤</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52</t>
    </r>
    <r>
      <rPr>
        <sz val="9"/>
        <color rgb="FF1F2937"/>
        <rFont val="Noto Sans CJK SC"/>
        <family val="2"/>
      </rPr>
      <t xml:space="preserve">（段</t>
    </r>
    <r>
      <rPr>
        <sz val="9"/>
        <color rgb="FF1F2937"/>
        <rFont val="Microsoft YaHei"/>
        <family val="0"/>
        <charset val="1"/>
      </rPr>
      <t xml:space="preserve">52.064</t>
    </r>
    <r>
      <rPr>
        <sz val="9"/>
        <color rgb="FF1F2937"/>
        <rFont val="Noto Sans CJK SC"/>
        <family val="2"/>
      </rPr>
      <t xml:space="preserve">）》</t>
    </r>
  </si>
  <si>
    <r>
      <rPr>
        <sz val="9"/>
        <color rgb="FF1F2937"/>
        <rFont val="Microsoft YaHei"/>
        <family val="0"/>
        <charset val="1"/>
      </rPr>
      <t xml:space="preserve">SL-4387 </t>
    </r>
    <r>
      <rPr>
        <sz val="9"/>
        <color rgb="FF1F2937"/>
        <rFont val="Noto Sans CJK SC"/>
        <family val="2"/>
      </rPr>
      <t xml:space="preserve">二十四神（身中正氣）（雲笈整合輪：列名條目中見「二十四神」）；</t>
    </r>
    <r>
      <rPr>
        <sz val="9"/>
        <color rgb="FF1F2937"/>
        <rFont val="Microsoft YaHei"/>
        <family val="0"/>
        <charset val="1"/>
      </rPr>
      <t xml:space="preserve">SL-5554 </t>
    </r>
    <r>
      <rPr>
        <sz val="9"/>
        <color rgb="FF1F2937"/>
        <rFont val="Noto Sans CJK SC"/>
        <family val="2"/>
      </rPr>
      <t xml:space="preserve">二十四神（上中下</t>
    </r>
  </si>
  <si>
    <t xml:space="preserve">「二十四神行事訣平旦平坐，閉目內視，握固兩膝上，叩齒二十四通，存乎腦神覺元子，字道都形長一寸一分，白衣，發神玄文華，字道衡長二寸一分，玄衣，皮膚神通眾仲」</t>
  </si>
  <si>
    <t xml:space="preserve">【原典气机特征】「二十四神行事訣平旦平坐，閉目內視」；当深圳粤海街道的高频量化私募基金FPGA撮合网关处于满负荷运转或节气交接（子午流注）时，其古籍气机拓扑被激活显化。</t>
  </si>
  <si>
    <t xml:space="preserve">【采撷与谐振守则】依据「握固兩膝上」之性，须以灌江口细犬底层数据包嗅探器进行无损频谱提取；严禁商业掠夺式滥采，否则增益反转。</t>
  </si>
  <si>
    <t xml:space="preserve">深圳粤海街道高频量化私募基金FPGA撮合网关 × 「二十四神」气机同构体（映射古籍：二十四神行事訣平旦平坐）</t>
  </si>
  <si>
    <t xml:space="preserve">2026年秋，深圳粤海街道的高频量化私募基金FPGA撮合网关连续三夜出现「閉目內視」式的异常记录，工程师最初以为是系统故障，直到白泽署干员比对《雲笈七籤·卷52（段52.064）》原典，用灌江口细犬底层数据包嗅探器与「二十四神」完成了首次跨时代工单会签。</t>
  </si>
  <si>
    <t xml:space="preserve">青精之神</t>
  </si>
  <si>
    <r>
      <rPr>
        <sz val="9"/>
        <color rgb="FF1F2937"/>
        <rFont val="Microsoft YaHei"/>
        <family val="0"/>
        <charset val="1"/>
      </rPr>
      <t xml:space="preserve">SL-6218</t>
    </r>
    <r>
      <rPr>
        <sz val="9"/>
        <color rgb="FF1F2937"/>
        <rFont val="Noto Sans CJK SC"/>
        <family val="2"/>
      </rPr>
      <t xml:space="preserve">《雲笈七籤</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74</t>
    </r>
    <r>
      <rPr>
        <sz val="9"/>
        <color rgb="FF1F2937"/>
        <rFont val="Noto Sans CJK SC"/>
        <family val="2"/>
      </rPr>
      <t xml:space="preserve">（段</t>
    </r>
    <r>
      <rPr>
        <sz val="9"/>
        <color rgb="FF1F2937"/>
        <rFont val="Microsoft YaHei"/>
        <family val="0"/>
        <charset val="1"/>
      </rPr>
      <t xml:space="preserve">74.014</t>
    </r>
    <r>
      <rPr>
        <sz val="9"/>
        <color rgb="FF1F2937"/>
        <rFont val="Noto Sans CJK SC"/>
        <family val="2"/>
      </rPr>
      <t xml:space="preserve">）》</t>
    </r>
  </si>
  <si>
    <t xml:space="preserve">道教神祇（藥神）</t>
  </si>
  <si>
    <t xml:space="preserve">「十年之後，青精之神，給以使之，令坐在立亡，能隱化遁變，招致風雨。」</t>
  </si>
  <si>
    <t xml:space="preserve">【原典气机特征】「十年之後，青精之神」；当重庆解放碑的短视频平台算法推荐冷启动池处于满负荷运转或节气交接（子午流注）时，其古籍气机拓扑被激活显化。</t>
  </si>
  <si>
    <t xml:space="preserve">【红尘混居牒移】尊重其「青精之神」之古礼习性，由辖区白泽署送达黄庭内景二十四神归位脉冲仪与《非人常住混居证》，纳入重庆解放碑社区网格共治。</t>
  </si>
  <si>
    <t xml:space="preserve">重庆解放碑短视频平台算法推荐冷启动池 × 「青精之神」气机同构体（映射古籍：十年之後）</t>
  </si>
  <si>
    <t xml:space="preserve">2026年秋，重庆解放碑的短视频平台算法推荐冷启动池连续三夜出现「青精之神」式的异常记录，工程师最初以为是系统故障，直到白泽署干员比对《雲笈七籤·卷74（段74.014）》原典，用黄庭内景二十四神归位脉冲仪与「青精之神」完成了首次跨时代工单会签。</t>
  </si>
  <si>
    <t xml:space="preserve">欻生（玉皇授大洞三十九章）</t>
  </si>
  <si>
    <r>
      <rPr>
        <sz val="9"/>
        <color rgb="FF1F2937"/>
        <rFont val="Microsoft YaHei"/>
        <family val="0"/>
        <charset val="1"/>
      </rPr>
      <t xml:space="preserve">SL-6325</t>
    </r>
    <r>
      <rPr>
        <sz val="9"/>
        <color rgb="FF1F2937"/>
        <rFont val="Noto Sans CJK SC"/>
        <family val="2"/>
      </rPr>
      <t xml:space="preserve">《雲笈七籤</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96</t>
    </r>
    <r>
      <rPr>
        <sz val="9"/>
        <color rgb="FF1F2937"/>
        <rFont val="Noto Sans CJK SC"/>
        <family val="2"/>
      </rPr>
      <t xml:space="preserve">（段</t>
    </r>
    <r>
      <rPr>
        <sz val="9"/>
        <color rgb="FF1F2937"/>
        <rFont val="Microsoft YaHei"/>
        <family val="0"/>
        <charset val="1"/>
      </rPr>
      <t xml:space="preserve">96.024</t>
    </r>
    <r>
      <rPr>
        <sz val="9"/>
        <color rgb="FF1F2937"/>
        <rFont val="Noto Sans CJK SC"/>
        <family val="2"/>
      </rPr>
      <t xml:space="preserve">）》</t>
    </r>
  </si>
  <si>
    <t xml:space="preserve">「玉皇授濆生大洞三十九章與《登龍臺歌》（二章）飆飆三霞領，佪剛七元蓋。」</t>
  </si>
  <si>
    <t xml:space="preserve">【原典气机特征】「玉皇授濆生大洞三十九章與《登龍臺歌》（二章）飆飆三霞領，佪剛七元蓋」；当杭州西溪科创园的全固态锂电池隔膜产线处于满负荷运转或节气交接（子午流注）时，其古籍气机拓扑被激活显化。</t>
  </si>
  <si>
    <t xml:space="preserve">【红尘混居牒移】尊重其「佪剛七元蓋」之古礼习性，由辖区白泽署送达朱襄氏五弦降燥低频泛音列与《非人常住混居证》，纳入杭州西溪科创园社区网格共治。</t>
  </si>
  <si>
    <t xml:space="preserve">杭州西溪科创园全固态锂电池隔膜产线 × 「欻生」气机同构体（映射古籍：玉皇授濆生大洞三十九章與《登龍臺歌》）</t>
  </si>
  <si>
    <t xml:space="preserve">2026年秋，杭州西溪科创园的全固态锂电池隔膜产线连续三夜出现「佪剛七元蓋」式的异常记录，工程师最初以为是系统故障，直到白泽署干员比对《雲笈七籤·卷96（段96.024）》原典，用朱襄氏五弦降燥低频泛音列与「欻生」完成了首次跨时代工单会签。</t>
  </si>
  <si>
    <t xml:space="preserve">陰誅（薛準）</t>
  </si>
  <si>
    <r>
      <rPr>
        <sz val="9"/>
        <color rgb="FF1F2937"/>
        <rFont val="Microsoft YaHei"/>
        <family val="0"/>
        <charset val="1"/>
      </rPr>
      <t xml:space="preserve">SL-6460</t>
    </r>
    <r>
      <rPr>
        <sz val="9"/>
        <color rgb="FF1F2937"/>
        <rFont val="Noto Sans CJK SC"/>
        <family val="2"/>
      </rPr>
      <t xml:space="preserve">《北夢瑣言</t>
    </r>
    <r>
      <rPr>
        <sz val="9"/>
        <color rgb="FF1F2937"/>
        <rFont val="Microsoft YaHei"/>
        <family val="0"/>
        <charset val="1"/>
      </rPr>
      <t xml:space="preserve">·</t>
    </r>
    <r>
      <rPr>
        <sz val="9"/>
        <color rgb="FF1F2937"/>
        <rFont val="Noto Sans CJK SC"/>
        <family val="2"/>
      </rPr>
      <t xml:space="preserve">卷十（段</t>
    </r>
    <r>
      <rPr>
        <sz val="9"/>
        <color rgb="FF1F2937"/>
        <rFont val="Microsoft YaHei"/>
        <family val="0"/>
        <charset val="1"/>
      </rPr>
      <t xml:space="preserve">BMSY.0198</t>
    </r>
    <r>
      <rPr>
        <sz val="9"/>
        <color rgb="FF1F2937"/>
        <rFont val="Noto Sans CJK SC"/>
        <family val="2"/>
      </rPr>
      <t xml:space="preserve">）》</t>
    </r>
  </si>
  <si>
    <t xml:space="preserve">冥界鬼神（天譴）</t>
  </si>
  <si>
    <t xml:space="preserve">「遊江南，至吉州閤皂觀遇修黃箓齋道士升壇行法事，準亦就列，忽失聲痛叫，云「中箭」……誰知天怒無因息，積惡終身乞命休。」</t>
  </si>
  <si>
    <t xml:space="preserve">【原典气机特征】「遊江南，至吉州閤皂觀遇修黃箓齋道士升壇行法事」；当北京中关村的24小时无人值守智慧药房处于满负荷运转或节气交接（子午流注）时，其古籍气机拓扑被激活显化。</t>
  </si>
  <si>
    <t xml:space="preserve">【红尘混居牒移】尊重其「至吉州閤皂觀遇修黃箓齋道士升壇行法事」之古礼习性，由辖区白泽署送达王灵官第三眼零信任审计探头与《非人常住混居证》，纳入北京中关村社区网格共治。</t>
  </si>
  <si>
    <t xml:space="preserve">北京中关村24小时无人值守智慧药房 × 「陰誅」气机同构体（映射古籍：遊江南）</t>
  </si>
  <si>
    <t xml:space="preserve">2026年秋，北京中关村的24小时无人值守智慧药房连续三夜出现「至吉州閤皂觀遇修黃箓齋道士升壇行法事」式的异常记录，工程师最初以为是系统故障，直到白泽署干员比对《北夢瑣言·卷十（段BMSY.0198）》原典，用王灵官第三眼零信任审计探头与「陰誅」完成了首次跨时代工单会签。</t>
  </si>
  <si>
    <t xml:space="preserve">耿先生（北大先生）</t>
  </si>
  <si>
    <r>
      <rPr>
        <sz val="9"/>
        <color rgb="FF1F2937"/>
        <rFont val="Microsoft YaHei"/>
        <family val="0"/>
        <charset val="1"/>
      </rPr>
      <t xml:space="preserve">SL-6562</t>
    </r>
    <r>
      <rPr>
        <sz val="9"/>
        <color rgb="FF1F2937"/>
        <rFont val="Noto Sans CJK SC"/>
        <family val="2"/>
      </rPr>
      <t xml:space="preserve">《江淮異人錄</t>
    </r>
    <r>
      <rPr>
        <sz val="9"/>
        <color rgb="FF1F2937"/>
        <rFont val="Microsoft YaHei"/>
        <family val="0"/>
        <charset val="1"/>
      </rPr>
      <t xml:space="preserve">·</t>
    </r>
    <r>
      <rPr>
        <sz val="9"/>
        <color rgb="FF1F2937"/>
        <rFont val="Noto Sans CJK SC"/>
        <family val="2"/>
      </rPr>
      <t xml:space="preserve">江淮異人錄（段</t>
    </r>
    <r>
      <rPr>
        <sz val="9"/>
        <color rgb="FF1F2937"/>
        <rFont val="Microsoft YaHei"/>
        <family val="0"/>
        <charset val="1"/>
      </rPr>
      <t xml:space="preserve">JHYRL.0013</t>
    </r>
    <r>
      <rPr>
        <sz val="9"/>
        <color rgb="FF1F2937"/>
        <rFont val="Noto Sans CJK SC"/>
        <family val="2"/>
      </rPr>
      <t xml:space="preserve">）》</t>
    </r>
  </si>
  <si>
    <t xml:space="preserve">仙真（女道）</t>
  </si>
  <si>
    <t xml:space="preserve">「而明於道術，能拘制鬼魅，通於黃白之術，變怪之事，奇偉恍惚，莫知其何從得也。……手如鳥爪，不便於用飲食，皆仰於人，復不喜行宮中，常使人抱持之。……乃取雪」</t>
  </si>
  <si>
    <t xml:space="preserve">【原典气机特征】「而明於道術，能拘制鬼魅」；当成都天府软件园的民航万米高空气象相控阵雷达处于满负荷运转或节气交接（子午流注）时，其古籍气机拓扑被激活显化。</t>
  </si>
  <si>
    <t xml:space="preserve">【采撷与谐振守则】依据「通於黃白之術」之性，须以加盖东岳第八司红印的《市政借道牒》进行无损频谱提取；严禁商业掠夺式滥采，否则增益反转。</t>
  </si>
  <si>
    <t xml:space="preserve">成都天府软件园民航万米高空气象相控阵雷达 × 「耿先生」气机同构体（映射古籍：而明於道術）</t>
  </si>
  <si>
    <t xml:space="preserve">2026年秋，成都天府软件园的民航万米高空气象相控阵雷达连续三夜出现「能拘制鬼魅」式的异常记录，工程师最初以为是系统故障，直到白泽署干员比对《江淮異人錄·江淮異人錄（段JHYRL.0013）》原典，用加盖东岳第八司红印的《市政借道牒》与「耿先生」完成了首次跨时代工单会签。</t>
  </si>
  <si>
    <t xml:space="preserve">招喜（遍體創裂之婢鬼）</t>
  </si>
  <si>
    <r>
      <rPr>
        <sz val="9"/>
        <color rgb="FF1F2937"/>
        <rFont val="Microsoft YaHei"/>
        <family val="0"/>
        <charset val="1"/>
      </rPr>
      <t xml:space="preserve">SL-6654</t>
    </r>
    <r>
      <rPr>
        <sz val="9"/>
        <color rgb="FF1F2937"/>
        <rFont val="Noto Sans CJK SC"/>
        <family val="2"/>
      </rPr>
      <t xml:space="preserve">《睽車志</t>
    </r>
    <r>
      <rPr>
        <sz val="9"/>
        <color rgb="FF1F2937"/>
        <rFont val="Microsoft YaHei"/>
        <family val="0"/>
        <charset val="1"/>
      </rPr>
      <t xml:space="preserve">·</t>
    </r>
    <r>
      <rPr>
        <sz val="9"/>
        <color rgb="FF1F2937"/>
        <rFont val="Noto Sans CJK SC"/>
        <family val="2"/>
      </rPr>
      <t xml:space="preserve">全（段</t>
    </r>
    <r>
      <rPr>
        <sz val="9"/>
        <color rgb="FF1F2937"/>
        <rFont val="Microsoft YaHei"/>
        <family val="0"/>
        <charset val="1"/>
      </rPr>
      <t xml:space="preserve">KCZ.0090</t>
    </r>
    <r>
      <rPr>
        <sz val="9"/>
        <color rgb="FF1F2937"/>
        <rFont val="Noto Sans CJK SC"/>
        <family val="2"/>
      </rPr>
      <t xml:space="preserve">）》</t>
    </r>
  </si>
  <si>
    <t xml:space="preserve">人鬼厉鬼（女鬼）</t>
  </si>
  <si>
    <t xml:space="preserve">「有故遣僕入邑，舟行數里，日將沒，見一婦人行岸上，手挈油罌，迎舟而過。……曰：「吾遍體創裂，借此膏潤，則痛少差耳。」</t>
  </si>
  <si>
    <t xml:space="preserve">【原典气机特征】「有故遣僕入邑，舟行數里」；当武汉光谷的智能网联汽车毫米波雷达测试场处于满负荷运转或节气交接（子午流注）时，其古籍气机拓扑被激活显化。</t>
  </si>
  <si>
    <t xml:space="preserve">【红尘混居牒移】尊重其「舟行數里」之古礼习性，由辖区白泽署送达混元金斗权限剥离沙盒（V4.2）与《非人常住混居证》，纳入武汉光谷社区网格共治。</t>
  </si>
  <si>
    <t xml:space="preserve">武汉光谷智能网联汽车毫米波雷达测试场 × 「招喜」气机同构体（映射古籍：有故遣僕入邑）</t>
  </si>
  <si>
    <t xml:space="preserve">2026年秋，武汉光谷的智能网联汽车毫米波雷达测试场连续三夜出现「舟行數里」式的异常记录，工程师最初以为是系统故障，直到白泽署干员比对《睽車志·全（段KCZ.0090）》原典，用混元金斗权限剥离沙盒（V4.2）与「招喜」完成了首次跨时代工单会签。</t>
  </si>
  <si>
    <t xml:space="preserve">送春榜使者（改名籍）</t>
  </si>
  <si>
    <r>
      <rPr>
        <sz val="9"/>
        <color rgb="FF1F2937"/>
        <rFont val="Microsoft YaHei"/>
        <family val="0"/>
        <charset val="1"/>
      </rPr>
      <t xml:space="preserve">SL-6748</t>
    </r>
    <r>
      <rPr>
        <sz val="9"/>
        <color rgb="FF1F2937"/>
        <rFont val="Noto Sans CJK SC"/>
        <family val="2"/>
      </rPr>
      <t xml:space="preserve">《括異志</t>
    </r>
    <r>
      <rPr>
        <sz val="9"/>
        <color rgb="FF1F2937"/>
        <rFont val="Microsoft YaHei"/>
        <family val="0"/>
        <charset val="1"/>
      </rPr>
      <t xml:space="preserve">·</t>
    </r>
    <r>
      <rPr>
        <sz val="9"/>
        <color rgb="FF1F2937"/>
        <rFont val="Noto Sans CJK SC"/>
        <family val="2"/>
      </rPr>
      <t xml:space="preserve">括異志 </t>
    </r>
    <r>
      <rPr>
        <sz val="9"/>
        <color rgb="FF1F2937"/>
        <rFont val="Microsoft YaHei"/>
        <family val="0"/>
        <charset val="1"/>
      </rPr>
      <t xml:space="preserve">(</t>
    </r>
    <r>
      <rPr>
        <sz val="9"/>
        <color rgb="FF1F2937"/>
        <rFont val="Noto Sans CJK SC"/>
        <family val="2"/>
      </rPr>
      <t xml:space="preserve">四部叢刊本</t>
    </r>
    <r>
      <rPr>
        <sz val="9"/>
        <color rgb="FF1F2937"/>
        <rFont val="Microsoft YaHei"/>
        <family val="0"/>
        <charset val="1"/>
      </rPr>
      <t xml:space="preserve">)/</t>
    </r>
    <r>
      <rPr>
        <sz val="9"/>
        <color rgb="FF1F2937"/>
        <rFont val="Noto Sans CJK SC"/>
        <family val="2"/>
      </rPr>
      <t xml:space="preserve">卷五（段</t>
    </r>
    <r>
      <rPr>
        <sz val="9"/>
        <color rgb="FF1F2937"/>
        <rFont val="Microsoft YaHei"/>
        <family val="0"/>
        <charset val="1"/>
      </rPr>
      <t xml:space="preserve">KYZ.0060</t>
    </r>
    <r>
      <rPr>
        <sz val="9"/>
        <color rgb="FF1F2937"/>
        <rFont val="Noto Sans CJK SC"/>
        <family val="2"/>
      </rPr>
      <t xml:space="preserve">）》</t>
    </r>
  </si>
  <si>
    <t xml:space="preserve">冥界鬼神（冥使）</t>
  </si>
  <si>
    <t xml:space="preserve">「【韓宗緒】韓宗緒龍圗贄之子以父任𥙷將作監主簿皇祐秋鎮𠫊預薦偶於相國寺資聖閣前見其家舊使老僕呼謂曰若非〈某乙〉乎死乆矣何得在此曰某今從送春榜使者又問榜可」</t>
  </si>
  <si>
    <t xml:space="preserve">【原典气机特征】「【韓宗緒】韓宗緒龍圗贄之子以父任𥙷將作監主簿皇祐秋鎮𠫊預薦偶於相國寺資聖閣前見其家舊使老僕呼謂曰若非〈某乙〉乎死乆矣何得在此曰某今從送春榜使者又問榜可，【韓宗緒】韓宗緒龍圗贄之子以父任𥙷將作監主簿皇祐秋鎮𠫊預薦偶於相國寺資聖閣前見其家舊使老僕呼謂曰若非〈某乙〉乎死乆矣何得在此曰某今從送春榜使者又問榜可」；当广州珠江新城的7纳米极紫外光刻机对准光路处于满负荷运转或节气交接（子午流注）时，其古籍气机拓扑被激活显化。</t>
  </si>
  <si>
    <t xml:space="preserve">【红尘混居牒移】尊重其「【韓宗緒】韓宗緒龍圗贄之子以父任𥙷將作監主簿皇祐秋鎮𠫊預薦偶於相國寺資聖閣前見其家舊使老僕呼謂曰若非〈某乙〉乎死乆矣何得在此曰某今從送春榜使者又問榜可」之古礼习性，由辖区白泽署送达《白泽图鉴App》声波真名广播与《非人常住混居证》，纳入广州珠江新城社区网格共治。</t>
  </si>
  <si>
    <t xml:space="preserve">广州珠江新城7纳米极紫外光刻机对准光路 × 「送春榜使者」气机同构体（映射古籍：【韓宗緒】韓宗緒龍圗贄之子以父任𥙷將）</t>
  </si>
  <si>
    <t xml:space="preserve">2026年秋，广州珠江新城的7纳米极紫外光刻机对准光路连续三夜出现「【韓宗緒】韓宗緒龍圗贄之子以父任𥙷將作監主簿」式的异常记录，工程师最初以为是系统故障，直到白泽署干员比对《括異志·括異志 (四部叢刊本)/卷五（段KYZ.0060）》原典，用《白泽图鉴App》声波真名广播与「送春榜使者」完成了首次跨时代工单会签。</t>
  </si>
  <si>
    <t xml:space="preserve">天祿（交趾異獸）</t>
  </si>
  <si>
    <r>
      <rPr>
        <sz val="9"/>
        <color rgb="FF1F2937"/>
        <rFont val="Microsoft YaHei"/>
        <family val="0"/>
        <charset val="1"/>
      </rPr>
      <t xml:space="preserve">SL-6844</t>
    </r>
    <r>
      <rPr>
        <sz val="9"/>
        <color rgb="FF1F2937"/>
        <rFont val="Noto Sans CJK SC"/>
        <family val="2"/>
      </rPr>
      <t xml:space="preserve">《夢溪筆談</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21</t>
    </r>
    <r>
      <rPr>
        <sz val="9"/>
        <color rgb="FF1F2937"/>
        <rFont val="Noto Sans CJK SC"/>
        <family val="2"/>
      </rPr>
      <t xml:space="preserve">（段</t>
    </r>
    <r>
      <rPr>
        <sz val="9"/>
        <color rgb="FF1F2937"/>
        <rFont val="Microsoft YaHei"/>
        <family val="0"/>
        <charset val="1"/>
      </rPr>
      <t xml:space="preserve">MXBT.0367</t>
    </r>
    <r>
      <rPr>
        <sz val="9"/>
        <color rgb="FF1F2937"/>
        <rFont val="Noto Sans CJK SC"/>
        <family val="2"/>
      </rPr>
      <t xml:space="preserve">）》</t>
    </r>
  </si>
  <si>
    <r>
      <rPr>
        <sz val="9"/>
        <color rgb="FF1F2937"/>
        <rFont val="Microsoft YaHei"/>
        <family val="0"/>
        <charset val="1"/>
      </rPr>
      <t xml:space="preserve">HW-0088 </t>
    </r>
    <r>
      <rPr>
        <sz val="9"/>
        <color rgb="FF1F2937"/>
        <rFont val="Noto Sans CJK SC"/>
        <family val="2"/>
      </rPr>
      <t xml:space="preserve">辟邪；</t>
    </r>
    <r>
      <rPr>
        <sz val="9"/>
        <color rgb="FF1F2937"/>
        <rFont val="Microsoft YaHei"/>
        <family val="0"/>
        <charset val="1"/>
      </rPr>
      <t xml:space="preserve">HW-1400 </t>
    </r>
    <r>
      <rPr>
        <sz val="9"/>
        <color rgb="FF1F2937"/>
        <rFont val="Noto Sans CJK SC"/>
        <family val="2"/>
      </rPr>
      <t xml:space="preserve">麒麟</t>
    </r>
  </si>
  <si>
    <t xml:space="preserve">异兽神兽（神獸）</t>
  </si>
  <si>
    <t xml:space="preserve">「至和中，交趾獻麟，如牛而大，通身皆大麟，首有一角。……止謂之「異獸」」</t>
  </si>
  <si>
    <t xml:space="preserve">【原典气机特征】「至和中，交趾獻麟」；当南京紫金山实验室的共享充电宝城市物联网总控台处于满负荷运转或节气交接（子午流注）时，其古籍气机拓扑被激活显化。</t>
  </si>
  <si>
    <t xml:space="preserve">【红尘混居牒移】尊重其「交趾獻麟」之古礼习性，由辖区白泽署送达正一玄坛公平贸易哈希校验码与《非人常住混居证》，纳入南京紫金山实验室社区网格共治。</t>
  </si>
  <si>
    <t xml:space="preserve">南京紫金山实验室共享充电宝城市物联网总控台 × 「天祿」气机同构体（映射古籍：至和中）</t>
  </si>
  <si>
    <t xml:space="preserve">2026年秋，南京紫金山实验室的共享充电宝城市物联网总控台连续三夜出现「交趾獻麟」式的异常记录，工程师最初以为是系统故障，直到白泽署干员比对《夢溪筆談·卷21（段MXBT.0367）》原典，用正一玄坛公平贸易哈希校验码与「天祿」完成了首次跨时代工单会签。</t>
  </si>
  <si>
    <t xml:space="preserve">床下燭下二鬼（護郭子儀馬）</t>
  </si>
  <si>
    <r>
      <rPr>
        <sz val="9"/>
        <color rgb="FF1F2937"/>
        <rFont val="Microsoft YaHei"/>
        <family val="0"/>
        <charset val="1"/>
      </rPr>
      <t xml:space="preserve">SL-6945</t>
    </r>
    <r>
      <rPr>
        <sz val="9"/>
        <color rgb="FF1F2937"/>
        <rFont val="Noto Sans CJK SC"/>
        <family val="2"/>
      </rPr>
      <t xml:space="preserve">《青瑣高議</t>
    </r>
    <r>
      <rPr>
        <sz val="9"/>
        <color rgb="FF1F2937"/>
        <rFont val="Microsoft YaHei"/>
        <family val="0"/>
        <charset val="1"/>
      </rPr>
      <t xml:space="preserve">·</t>
    </r>
    <r>
      <rPr>
        <sz val="9"/>
        <color rgb="FF1F2937"/>
        <rFont val="Noto Sans CJK SC"/>
        <family val="2"/>
      </rPr>
      <t xml:space="preserve">後集卷之八（段</t>
    </r>
    <r>
      <rPr>
        <sz val="9"/>
        <color rgb="FF1F2937"/>
        <rFont val="Microsoft YaHei"/>
        <family val="0"/>
        <charset val="1"/>
      </rPr>
      <t xml:space="preserve">QSGY.0137</t>
    </r>
    <r>
      <rPr>
        <sz val="9"/>
        <color rgb="FF1F2937"/>
        <rFont val="Noto Sans CJK SC"/>
        <family val="2"/>
      </rPr>
      <t xml:space="preserve">）》</t>
    </r>
  </si>
  <si>
    <t xml:space="preserve">人鬼厉鬼（守護鬼）</t>
  </si>
  <si>
    <t xml:space="preserve">「公独卧不成寝，闻烛下有人嗽声，不见其形。……又榻下有人呼烛下人曰：「吾二人各直一更。……敢盗汾阳王马！」</t>
  </si>
  <si>
    <t xml:space="preserve">【原典气机特征】「公独卧不成寝，闻烛下有人嗽声」；当西安曲江新区的数字人民币离线硬件钱包芯片处于满负荷运转或节气交接（子午流注）时，其古籍气机拓扑被激活显化。</t>
  </si>
  <si>
    <t xml:space="preserve">【红尘混居牒移】尊重其「闻烛下有人嗽声」之古礼习性，由辖区白泽署送达迷谷四照黑理木反光车贴与《非人常住混居证》，纳入西安曲江新区社区网格共治。</t>
  </si>
  <si>
    <t xml:space="preserve">西安曲江新区数字人民币离线硬件钱包芯片 × 「床下燭下二鬼」气机同构体（映射古籍：公独卧不成寝）</t>
  </si>
  <si>
    <t xml:space="preserve">2026年秋，西安曲江新区的数字人民币离线硬件钱包芯片连续三夜出现「闻烛下有人嗽声」式的异常记录，工程师最初以为是系统故障，直到白泽署干员比对《青瑣高議·後集卷之八（段QSGY.0137）》原典，用迷谷四照黑理木反光车贴与「床下燭下二鬼」完成了首次跨时代工单会签。</t>
  </si>
  <si>
    <t xml:space="preserve">大將軍船</t>
  </si>
  <si>
    <r>
      <rPr>
        <sz val="9"/>
        <color rgb="FF1F2937"/>
        <rFont val="Microsoft YaHei"/>
        <family val="0"/>
        <charset val="1"/>
      </rPr>
      <t xml:space="preserve">SL-7045</t>
    </r>
    <r>
      <rPr>
        <sz val="9"/>
        <color rgb="FF1F2937"/>
        <rFont val="Noto Sans CJK SC"/>
        <family val="2"/>
      </rPr>
      <t xml:space="preserve">《搜神秘覽</t>
    </r>
    <r>
      <rPr>
        <sz val="9"/>
        <color rgb="FF1F2937"/>
        <rFont val="Microsoft YaHei"/>
        <family val="0"/>
        <charset val="1"/>
      </rPr>
      <t xml:space="preserve">·</t>
    </r>
    <r>
      <rPr>
        <sz val="9"/>
        <color rgb="FF1F2937"/>
        <rFont val="Noto Sans CJK SC"/>
        <family val="2"/>
      </rPr>
      <t xml:space="preserve">搜神秘覽</t>
    </r>
    <r>
      <rPr>
        <sz val="9"/>
        <color rgb="FF1F2937"/>
        <rFont val="Microsoft YaHei"/>
        <family val="0"/>
        <charset val="1"/>
      </rPr>
      <t xml:space="preserve">/</t>
    </r>
    <r>
      <rPr>
        <sz val="9"/>
        <color rgb="FF1F2937"/>
        <rFont val="Noto Sans CJK SC"/>
        <family val="2"/>
      </rPr>
      <t xml:space="preserve">卷下（段</t>
    </r>
    <r>
      <rPr>
        <sz val="9"/>
        <color rgb="FF1F2937"/>
        <rFont val="Microsoft YaHei"/>
        <family val="0"/>
        <charset val="1"/>
      </rPr>
      <t xml:space="preserve">SSPL.0083</t>
    </r>
    <r>
      <rPr>
        <sz val="9"/>
        <color rgb="FF1F2937"/>
        <rFont val="Noto Sans CJK SC"/>
        <family val="2"/>
      </rPr>
      <t xml:space="preserve">）》</t>
    </r>
  </si>
  <si>
    <t xml:space="preserve">妖精（船怪）</t>
  </si>
  <si>
    <t xml:space="preserve">「造創年深，一日輒失之，旬餘復自下流逆水而上。」</t>
  </si>
  <si>
    <t xml:space="preserve">【原典气机特征】「造創年深，一日輒失之」；当苏州工业园区的自动驾驶高精地图OTA服务器处于满负荷运转或节气交接（子午流注）时，其古籍气机拓扑被激活显化。</t>
  </si>
  <si>
    <t xml:space="preserve">【红尘混居牒移】尊重其「一日輒失之」之古礼习性，由辖区白泽署送达《五藏山经》吉玉糈米全息信标与《非人常住混居证》，纳入苏州工业园区社区网格共治。</t>
  </si>
  <si>
    <t xml:space="preserve">苏州工业园区自动驾驶高精地图OTA服务器 × 「大將軍船」气机同构体（映射古籍：造創年深）</t>
  </si>
  <si>
    <t xml:space="preserve">2026年秋，苏州工业园区的自动驾驶高精地图OTA服务器连续三夜出现「一日輒失之」式的异常记录，工程师最初以为是系统故障，直到白泽署干员比对《搜神秘覽·搜神秘覽/卷下（段SSPL.0083）》原典，用《五藏山经》吉玉糈米全息信标与「大將軍船」完成了首次跨时代工单会签。</t>
  </si>
  <si>
    <t xml:space="preserve">永豐縣境地神</t>
  </si>
  <si>
    <r>
      <rPr>
        <sz val="9"/>
        <color rgb="FF1F2937"/>
        <rFont val="Microsoft YaHei"/>
        <family val="0"/>
        <charset val="1"/>
      </rPr>
      <t xml:space="preserve">SL-7149</t>
    </r>
    <r>
      <rPr>
        <sz val="9"/>
        <color rgb="FF1F2937"/>
        <rFont val="Noto Sans CJK SC"/>
        <family val="2"/>
      </rPr>
      <t xml:space="preserve">《春渚紀聞</t>
    </r>
    <r>
      <rPr>
        <sz val="9"/>
        <color rgb="FF1F2937"/>
        <rFont val="Microsoft YaHei"/>
        <family val="0"/>
        <charset val="1"/>
      </rPr>
      <t xml:space="preserve">·</t>
    </r>
    <r>
      <rPr>
        <sz val="9"/>
        <color rgb="FF1F2937"/>
        <rFont val="Noto Sans CJK SC"/>
        <family val="2"/>
      </rPr>
      <t xml:space="preserve">春渚紀聞</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01</t>
    </r>
    <r>
      <rPr>
        <sz val="9"/>
        <color rgb="FF1F2937"/>
        <rFont val="Noto Sans CJK SC"/>
        <family val="2"/>
      </rPr>
      <t xml:space="preserve">（段</t>
    </r>
    <r>
      <rPr>
        <sz val="9"/>
        <color rgb="FF1F2937"/>
        <rFont val="Microsoft YaHei"/>
        <family val="0"/>
        <charset val="1"/>
      </rPr>
      <t xml:space="preserve">CZJW.0018</t>
    </r>
    <r>
      <rPr>
        <sz val="9"/>
        <color rgb="FF1F2937"/>
        <rFont val="Noto Sans CJK SC"/>
        <family val="2"/>
      </rPr>
      <t xml:space="preserve">）》</t>
    </r>
  </si>
  <si>
    <t xml:space="preserve">地祇山川水神（地方神）</t>
  </si>
  <si>
    <t xml:space="preserve">「【李右轄抑神致雨二異】李右轄公素，初為吉州永豐尉，夜夢二神赴庭，一神秉牒見訴云：「某，縣境地神也，被隣邑地神，妄生威福，侵境以動吾民，民因為大建祠宇，」</t>
  </si>
  <si>
    <t xml:space="preserve">【原典气机特征】「【李右轄抑神致雨二異】李右轄公素，初為吉州永豐尉」；当合肥量子科学岛的柔性OLED折叠屏老化测试暗室处于满负荷运转或节气交接（子午流注）时，其古籍气机拓扑被激活显化。</t>
  </si>
  <si>
    <t xml:space="preserve">【红尘混居牒移】尊重其「初為吉州永豐尉」之古礼习性，由辖区白泽署送达守庚申数字断舍离清道夫脚本与《非人常住混居证》，纳入合肥量子科学岛社区网格共治。</t>
  </si>
  <si>
    <t xml:space="preserve">合肥量子科学岛柔性OLED折叠屏老化测试暗室 × 「永豐縣境地神」气机同构体（映射古籍：【李右轄抑神致雨二異】李右轄公素）</t>
  </si>
  <si>
    <t xml:space="preserve">2026年秋，合肥量子科学岛的柔性OLED折叠屏老化测试暗室连续三夜出现「初為吉州永豐尉」式的异常记录，工程师最初以为是系统故障，直到白泽署干员比对《春渚紀聞·春渚紀聞/卷01（段CZJW.0018）》原典，用守庚申数字断舍离清道夫脚本与「永豐縣境地神」完成了首次跨时代工单会签。</t>
  </si>
  <si>
    <t xml:space="preserve">冥司（張童入冥）</t>
  </si>
  <si>
    <r>
      <rPr>
        <sz val="9"/>
        <color rgb="FF1F2937"/>
        <rFont val="Microsoft YaHei"/>
        <family val="0"/>
        <charset val="1"/>
      </rPr>
      <t xml:space="preserve">SL-7253</t>
    </r>
    <r>
      <rPr>
        <sz val="9"/>
        <color rgb="FF1F2937"/>
        <rFont val="Noto Sans CJK SC"/>
        <family val="2"/>
      </rPr>
      <t xml:space="preserve">《續夷堅志</t>
    </r>
    <r>
      <rPr>
        <sz val="9"/>
        <color rgb="FF1F2937"/>
        <rFont val="Microsoft YaHei"/>
        <family val="0"/>
        <charset val="1"/>
      </rPr>
      <t xml:space="preserve">·</t>
    </r>
    <r>
      <rPr>
        <sz val="9"/>
        <color rgb="FF1F2937"/>
        <rFont val="Noto Sans CJK SC"/>
        <family val="2"/>
      </rPr>
      <t xml:space="preserve">續夷堅志</t>
    </r>
    <r>
      <rPr>
        <sz val="9"/>
        <color rgb="FF1F2937"/>
        <rFont val="Microsoft YaHei"/>
        <family val="0"/>
        <charset val="1"/>
      </rPr>
      <t xml:space="preserve">/</t>
    </r>
    <r>
      <rPr>
        <sz val="9"/>
        <color rgb="FF1F2937"/>
        <rFont val="Noto Sans CJK SC"/>
        <family val="2"/>
      </rPr>
      <t xml:space="preserve">卷一（段</t>
    </r>
    <r>
      <rPr>
        <sz val="9"/>
        <color rgb="FF1F2937"/>
        <rFont val="Microsoft YaHei"/>
        <family val="0"/>
        <charset val="1"/>
      </rPr>
      <t xml:space="preserve">XYJZ.0009</t>
    </r>
    <r>
      <rPr>
        <sz val="9"/>
        <color rgb="FF1F2937"/>
        <rFont val="Noto Sans CJK SC"/>
        <family val="2"/>
      </rPr>
      <t xml:space="preserve">）》</t>
    </r>
  </si>
  <si>
    <t xml:space="preserve">冥界鬼神（冥府）</t>
  </si>
  <si>
    <t xml:space="preserve">「良久，說初爲人攝徃冥司，兒哀訴主者：「爹娘老可念，乞盡餘年，葬送畢，死無所歸恨。……張童言︰「我在冥中引問次，見師在殿角銅柱上，鐵繩繫足，獄卒徃來以棓」</t>
  </si>
  <si>
    <t xml:space="preserve">【原典气机特征】「說初爲人攝徃冥司，兒哀訴主者」；当青岛深海基地的深海万米载人潜器钛合金耐压舱处于满负荷运转或节气交接（子午流注）时，其古籍气机拓扑被激活显化。</t>
  </si>
  <si>
    <t xml:space="preserve">【红尘混居牒移】尊重其「兒哀訴主者」之古礼习性，由辖区白泽署送达激光微雕桃木探针（无尘车间级）与《非人常住混居证》，纳入青岛深海基地社区网格共治。</t>
  </si>
  <si>
    <t xml:space="preserve">青岛深海基地深海万米载人潜器钛合金耐压舱 × 「冥司」气机同构体（映射古籍：說初爲人攝徃冥司）</t>
  </si>
  <si>
    <t xml:space="preserve">2026年秋，青岛深海基地的深海万米载人潜器钛合金耐压舱连续三夜出现「兒哀訴主者」式的异常记录，工程师最初以为是系统故障，直到白泽署干员比对《續夷堅志·續夷堅志/卷一（段XYJZ.0009）》原典，用激光微雕桃木探针（无尘车间级）与「冥司」完成了首次跨时代工单会签。</t>
  </si>
  <si>
    <t xml:space="preserve">安期生（列仙傳）</t>
  </si>
  <si>
    <r>
      <rPr>
        <sz val="9"/>
        <color rgb="FF1F2937"/>
        <rFont val="Microsoft YaHei"/>
        <family val="0"/>
        <charset val="1"/>
      </rPr>
      <t xml:space="preserve">SL-7360</t>
    </r>
    <r>
      <rPr>
        <sz val="9"/>
        <color rgb="FF1F2937"/>
        <rFont val="Noto Sans CJK SC"/>
        <family val="2"/>
      </rPr>
      <t xml:space="preserve">《雲笈七籤</t>
    </r>
    <r>
      <rPr>
        <sz val="9"/>
        <color rgb="FF1F2937"/>
        <rFont val="Microsoft YaHei"/>
        <family val="0"/>
        <charset val="1"/>
      </rPr>
      <t xml:space="preserve">·</t>
    </r>
    <r>
      <rPr>
        <sz val="9"/>
        <color rgb="FF1F2937"/>
        <rFont val="Noto Sans CJK SC"/>
        <family val="2"/>
      </rPr>
      <t xml:space="preserve">卷</t>
    </r>
    <r>
      <rPr>
        <sz val="9"/>
        <color rgb="FF1F2937"/>
        <rFont val="Microsoft YaHei"/>
        <family val="0"/>
        <charset val="1"/>
      </rPr>
      <t xml:space="preserve">108</t>
    </r>
    <r>
      <rPr>
        <sz val="9"/>
        <color rgb="FF1F2937"/>
        <rFont val="Noto Sans CJK SC"/>
        <family val="2"/>
      </rPr>
      <t xml:space="preserve">（段</t>
    </r>
    <r>
      <rPr>
        <sz val="9"/>
        <color rgb="FF1F2937"/>
        <rFont val="Microsoft YaHei"/>
        <family val="0"/>
        <charset val="1"/>
      </rPr>
      <t xml:space="preserve">108.059</t>
    </r>
    <r>
      <rPr>
        <sz val="9"/>
        <color rgb="FF1F2937"/>
        <rFont val="Noto Sans CJK SC"/>
        <family val="2"/>
      </rPr>
      <t xml:space="preserve">）》</t>
    </r>
  </si>
  <si>
    <r>
      <rPr>
        <sz val="9"/>
        <color rgb="FF1F2937"/>
        <rFont val="Microsoft YaHei"/>
        <family val="0"/>
        <charset val="1"/>
      </rPr>
      <t xml:space="preserve">HW-0776 </t>
    </r>
    <r>
      <rPr>
        <sz val="9"/>
        <color rgb="FF1F2937"/>
        <rFont val="Noto Sans CJK SC"/>
        <family val="2"/>
      </rPr>
      <t xml:space="preserve">安期生；</t>
    </r>
    <r>
      <rPr>
        <sz val="9"/>
        <color rgb="FF1F2937"/>
        <rFont val="Microsoft YaHei"/>
        <family val="0"/>
        <charset val="1"/>
      </rPr>
      <t xml:space="preserve">SL-4500 </t>
    </r>
    <r>
      <rPr>
        <sz val="9"/>
        <color rgb="FF1F2937"/>
        <rFont val="Noto Sans CJK SC"/>
        <family val="2"/>
      </rPr>
      <t xml:space="preserve">安期先生（合併複核：安期生（列仙傳）與安期先生（馬明生傳）疑同一人，未</t>
    </r>
  </si>
  <si>
    <t xml:space="preserve">「賣藥於東海邊，時人皆言千歲翁。……出於阜鄉亭，皆置去，留書以赤玉舄一雙為報曰：後千年，求我於蓬萊下。」</t>
  </si>
  <si>
    <t xml:space="preserve">【原典气机特征】「賣藥於東海邊，時人皆言千歲翁」；当长沙马栏山的大型音乐节低频声学阵列控台处于满负荷运转或节气交接（子午流注）时，其古籍气机拓扑被激活显化。</t>
  </si>
  <si>
    <t xml:space="preserve">【采撷与谐振守则】依据「……出於阜鄉亭」之性，须以灌江口细犬底层数据包嗅探器进行无损频谱提取；严禁商业掠夺式滥采，否则增益反转。</t>
  </si>
  <si>
    <t xml:space="preserve">长沙马栏山大型音乐节低频声学阵列控台 × 「安期生」气机同构体（映射古籍：賣藥於東海邊）</t>
  </si>
  <si>
    <t xml:space="preserve">2026年秋，长沙马栏山的大型音乐节低频声学阵列控台连续三夜出现「時人皆言千歲翁」式的异常记录，工程师最初以为是系统故障，直到白泽署干员比对《雲笈七籤·卷108（段108.059）》原典，用灌江口细犬底层数据包嗅探器与「安期生」完成了首次跨时代工单会签。</t>
  </si>
  <si>
    <t xml:space="preserve">高祖韓信等神魂（鬼箭）</t>
  </si>
  <si>
    <r>
      <rPr>
        <sz val="9"/>
        <color rgb="FF1F2937"/>
        <rFont val="Microsoft YaHei"/>
        <family val="0"/>
        <charset val="1"/>
      </rPr>
      <t xml:space="preserve">YN-0103</t>
    </r>
    <r>
      <rPr>
        <sz val="9"/>
        <color rgb="FF1F2937"/>
        <rFont val="Noto Sans CJK SC"/>
        <family val="2"/>
      </rPr>
      <t xml:space="preserve">《全相平話</t>
    </r>
    <r>
      <rPr>
        <sz val="9"/>
        <color rgb="FF1F2937"/>
        <rFont val="Microsoft YaHei"/>
        <family val="0"/>
        <charset val="1"/>
      </rPr>
      <t xml:space="preserve">·</t>
    </r>
    <r>
      <rPr>
        <sz val="9"/>
        <color rgb="FF1F2937"/>
        <rFont val="Noto Sans CJK SC"/>
        <family val="2"/>
      </rPr>
      <t xml:space="preserve">前漢書續集（元至治建安虞氏刊</t>
    </r>
    <r>
      <rPr>
        <sz val="9"/>
        <color rgb="FF1F2937"/>
        <rFont val="Microsoft YaHei"/>
        <family val="0"/>
        <charset val="1"/>
      </rPr>
      <t xml:space="preserve">·</t>
    </r>
    <r>
      <rPr>
        <sz val="9"/>
        <color rgb="FF1F2937"/>
        <rFont val="Noto Sans CJK SC"/>
        <family val="2"/>
      </rPr>
      <t xml:space="preserve">內閣文庫本；維基文庫錄文》</t>
    </r>
  </si>
  <si>
    <t xml:space="preserve">见载于10_元主表（已入库标准原型）</t>
  </si>
  <si>
    <t xml:space="preserve">人鬼厉鬼（冤魂）</t>
  </si>
  <si>
    <t xml:space="preserve">「上有高祖，韓信，彭越，英布，戚氏，趙王等神魂在於船上，黑雲籠罩定……唯有呂后得見……鬼箭正中呂后左乳上……當夜又夢見一個鷹飛來，額上嘴一啄，又見一個狗」</t>
  </si>
  <si>
    <t xml:space="preserve">【原典气机特征】「上有高祖，趙王等神魂在於船上」；当贵阳大数据中心的跨洋海底光缆登陆站中继器处于满负荷运转或节气交接（子午流注）时，其古籍气机拓扑被激活显化。</t>
  </si>
  <si>
    <t xml:space="preserve">【红尘混居牒移】尊重其「趙王等神魂在於船上」之古礼习性，由辖区白泽署送达黄庭内景二十四神归位脉冲仪与《非人常住混居证》，纳入贵阳大数据中心社区网格共治。</t>
  </si>
  <si>
    <t xml:space="preserve">贵阳大数据中心跨洋海底光缆登陆站中继器 × 「高祖韓信等神魂」气机同构体（映射古籍：上有高祖）</t>
  </si>
  <si>
    <t xml:space="preserve">2026年秋，贵阳大数据中心的跨洋海底光缆登陆站中继器连续三夜出现「趙王等神魂在於船上」式的异常记录，工程师最初以为是系统故障，直到白泽署干员比对《全相平話·前漢書續集（元至治建安虞氏刊·內閣文庫本；維基文庫錄文》原典，用黄庭内景二十四神归位脉冲仪与「高祖韓信等神魂」完成了首次跨时代工单会签。</t>
  </si>
  <si>
    <t xml:space="preserve">當境神（乞保文遷城隍）</t>
  </si>
  <si>
    <r>
      <rPr>
        <sz val="9"/>
        <color rgb="FF1F2937"/>
        <rFont val="Microsoft YaHei"/>
        <family val="0"/>
        <charset val="1"/>
      </rPr>
      <t xml:space="preserve">YN-0200</t>
    </r>
    <r>
      <rPr>
        <sz val="9"/>
        <color rgb="FF1F2937"/>
        <rFont val="Noto Sans CJK SC"/>
        <family val="2"/>
      </rPr>
      <t xml:space="preserve">《南村輟耕錄（元</t>
    </r>
    <r>
      <rPr>
        <sz val="9"/>
        <color rgb="FF1F2937"/>
        <rFont val="Microsoft YaHei"/>
        <family val="0"/>
        <charset val="1"/>
      </rPr>
      <t xml:space="preserve">·</t>
    </r>
    <r>
      <rPr>
        <sz val="9"/>
        <color rgb="FF1F2937"/>
        <rFont val="Noto Sans CJK SC"/>
        <family val="2"/>
      </rPr>
      <t xml:space="preserve">陶宗儀》</t>
    </r>
  </si>
  <si>
    <t xml:space="preserve">地祇山川水神（土地/城隍）</t>
  </si>
  <si>
    <t xml:space="preserve">「求召鬼仙，以卜行藏……某非仙，乃當境神也……某欲乞虞公撰一保文，申達上帝，用求遷升耳……某已獲授城隍……而鬼神預有知耶」</t>
  </si>
  <si>
    <t xml:space="preserve">【原典气机特征】「求召鬼仙，以卜行藏……某非仙」；当厦门软件园的脑机接口非侵入式脑电帽采样区处于满负荷运转或节气交接（子午流注）时，其古籍气机拓扑被激活显化。</t>
  </si>
  <si>
    <t xml:space="preserve">【红尘混居牒移】尊重其「以卜行藏……某非仙」之古礼习性，由辖区白泽署送达朱襄氏五弦降燥低频泛音列与《非人常住混居证》，纳入厦门软件园社区网格共治。</t>
  </si>
  <si>
    <t xml:space="preserve">厦门软件园脑机接口非侵入式脑电帽采样区 × 「當境神」气机同构体（映射古籍：求召鬼仙）</t>
  </si>
  <si>
    <t xml:space="preserve">2026年秋，厦门软件园的脑机接口非侵入式脑电帽采样区连续三夜出现「以卜行藏……某非仙」式的异常记录，工程师最初以为是系统故障，直到白泽署干员比对《南村輟耕錄（元·陶宗儀》原典，用朱襄氏五弦降燥低频泛音列与「當境神」完成了首次跨时代工单会签。</t>
  </si>
  <si>
    <t xml:space="preserve">呂洞賓（呂仙）(道人持撥扇)</t>
  </si>
  <si>
    <r>
      <rPr>
        <sz val="9"/>
        <color rgb="FF1F2937"/>
        <rFont val="Microsoft YaHei"/>
        <family val="0"/>
        <charset val="1"/>
      </rPr>
      <t xml:space="preserve">YN-0293</t>
    </r>
    <r>
      <rPr>
        <sz val="9"/>
        <color rgb="FF1F2937"/>
        <rFont val="Noto Sans CJK SC"/>
        <family val="2"/>
      </rPr>
      <t xml:space="preserve">《湖海新聞夷堅續志（元</t>
    </r>
    <r>
      <rPr>
        <sz val="9"/>
        <color rgb="FF1F2937"/>
        <rFont val="Microsoft YaHei"/>
        <family val="0"/>
        <charset val="1"/>
      </rPr>
      <t xml:space="preserve">·</t>
    </r>
    <r>
      <rPr>
        <sz val="9"/>
        <color rgb="FF1F2937"/>
        <rFont val="Noto Sans CJK SC"/>
        <family val="2"/>
      </rPr>
      <t xml:space="preserve">佚名》</t>
    </r>
  </si>
  <si>
    <r>
      <rPr>
        <sz val="9"/>
        <color rgb="FF1F2937"/>
        <rFont val="Microsoft YaHei"/>
        <family val="0"/>
        <charset val="1"/>
      </rPr>
      <t xml:space="preserve">SL-7104 </t>
    </r>
    <r>
      <rPr>
        <sz val="9"/>
        <color rgb="FF1F2937"/>
        <rFont val="Noto Sans CJK SC"/>
        <family val="2"/>
      </rPr>
      <t xml:space="preserve">呂洞賓；</t>
    </r>
    <r>
      <rPr>
        <sz val="9"/>
        <color rgb="FF1F2937"/>
        <rFont val="Microsoft YaHei"/>
        <family val="0"/>
        <charset val="1"/>
      </rPr>
      <t xml:space="preserve">MG-0275 </t>
    </r>
    <r>
      <rPr>
        <sz val="9"/>
        <color rgb="FF1F2937"/>
        <rFont val="Noto Sans CJK SC"/>
        <family val="2"/>
      </rPr>
      <t xml:space="preserve">呂洞賓（呂嵒</t>
    </r>
    <r>
      <rPr>
        <sz val="9"/>
        <color rgb="FF1F2937"/>
        <rFont val="Microsoft YaHei"/>
        <family val="0"/>
        <charset val="1"/>
      </rPr>
      <t xml:space="preserve">·</t>
    </r>
    <r>
      <rPr>
        <sz val="9"/>
        <color rgb="FF1F2937"/>
        <rFont val="Noto Sans CJK SC"/>
        <family val="2"/>
      </rPr>
      <t xml:space="preserve">純陽子</t>
    </r>
    <r>
      <rPr>
        <sz val="9"/>
        <color rgb="FF1F2937"/>
        <rFont val="Microsoft YaHei"/>
        <family val="0"/>
        <charset val="1"/>
      </rPr>
      <t xml:space="preserve">·</t>
    </r>
    <r>
      <rPr>
        <sz val="9"/>
        <color rgb="FF1F2937"/>
        <rFont val="Noto Sans CJK SC"/>
        <family val="2"/>
      </rPr>
      <t xml:space="preserve">回道人</t>
    </r>
    <r>
      <rPr>
        <sz val="9"/>
        <color rgb="FF1F2937"/>
        <rFont val="Microsoft YaHei"/>
        <family val="0"/>
        <charset val="1"/>
      </rPr>
      <t xml:space="preserve">·</t>
    </r>
    <r>
      <rPr>
        <sz val="9"/>
        <color rgb="FF1F2937"/>
        <rFont val="Noto Sans CJK SC"/>
        <family val="2"/>
      </rPr>
      <t xml:space="preserve">呂客）；</t>
    </r>
    <r>
      <rPr>
        <sz val="9"/>
        <color rgb="FF1F2937"/>
        <rFont val="Microsoft YaHei"/>
        <family val="0"/>
        <charset val="1"/>
      </rPr>
      <t xml:space="preserve">MG-0477 </t>
    </r>
    <r>
      <rPr>
        <sz val="9"/>
        <color rgb="FF1F2937"/>
        <rFont val="Noto Sans CJK SC"/>
        <family val="2"/>
      </rPr>
      <t xml:space="preserve">呂洞賓（呂巖</t>
    </r>
    <r>
      <rPr>
        <sz val="9"/>
        <color rgb="FF1F2937"/>
        <rFont val="Microsoft YaHei"/>
        <family val="0"/>
        <charset val="1"/>
      </rPr>
      <t xml:space="preserve">·</t>
    </r>
    <r>
      <rPr>
        <sz val="9"/>
        <color rgb="FF1F2937"/>
        <rFont val="Noto Sans CJK SC"/>
        <family val="2"/>
      </rPr>
      <t xml:space="preserve">純</t>
    </r>
  </si>
  <si>
    <t xml:space="preserve">仙真（呂）</t>
  </si>
  <si>
    <t xml:space="preserve">「道人持撥扇……錢擲在撥扇中遂流于地道人以足踐之更不回顧飄然而去…用力亦不能動矣…杳然不見」</t>
  </si>
  <si>
    <t xml:space="preserve">【原典气机特征】「道人持撥扇……錢擲在撥扇中遂流于地道人以足踐之更不回顧飄然而去…用力亦不能動矣…杳然不見，道人持撥扇……錢擲在撥扇中遂流于地道人以足踐之更不回顧飄然而去…用力亦不能動矣…杳然不見」；当天津滨海港的老旧小区加装电梯井道基坑处于满负荷运转或节气交接（子午流注）时，其古籍气机拓扑被激活显化。</t>
  </si>
  <si>
    <t xml:space="preserve">【采撷与谐振守则】依据「道人持撥扇……錢擲在撥扇中遂流于地道人以足踐之更不回顧飄然而去…用力亦不能動矣…杳然不見」之性，须以王灵官第三眼零信任审计探头进行无损频谱提取；严禁商业掠夺式滥采，否则增益反转。</t>
  </si>
  <si>
    <t xml:space="preserve">天津滨海港老旧小区加装电梯井道基坑 × 「呂洞賓」气机同构体（映射古籍：道人持撥扇……錢擲在撥扇中遂流于地道）</t>
  </si>
  <si>
    <t xml:space="preserve">2026年秋，天津滨海港的老旧小区加装电梯井道基坑连续三夜出现「道人持撥扇……錢擲在撥扇中遂流于地道人以足踐」式的异常记录，工程师最初以为是系统故障，直到白泽署干员比对《湖海新聞夷堅續志（元·佚名》原典，用王灵官第三眼零信任审计探头与「呂洞賓」完成了首次跨时代工单会签。</t>
  </si>
  <si>
    <t xml:space="preserve">盤古真人（元始天王）</t>
  </si>
  <si>
    <r>
      <rPr>
        <sz val="9"/>
        <color rgb="FF1F2937"/>
        <rFont val="Microsoft YaHei"/>
        <family val="0"/>
        <charset val="1"/>
      </rPr>
      <t xml:space="preserve">MG-0005</t>
    </r>
    <r>
      <rPr>
        <sz val="9"/>
        <color rgb="FF1F2937"/>
        <rFont val="Noto Sans CJK SC"/>
        <family val="2"/>
      </rPr>
      <t xml:space="preserve">《三教源流搜神大全（明人增編七卷本；維基文庫據清刊重刻本錄文）》</t>
    </r>
  </si>
  <si>
    <r>
      <rPr>
        <sz val="9"/>
        <color rgb="FF1F2937"/>
        <rFont val="Microsoft YaHei"/>
        <family val="0"/>
        <charset val="1"/>
      </rPr>
      <t xml:space="preserve">SL-5394 </t>
    </r>
    <r>
      <rPr>
        <sz val="9"/>
        <color rgb="FF1F2937"/>
        <rFont val="Noto Sans CJK SC"/>
        <family val="2"/>
      </rPr>
      <t xml:space="preserve">盤古真人（受經成天立地）</t>
    </r>
  </si>
  <si>
    <t xml:space="preserve">道教神祇（創世）</t>
  </si>
  <si>
    <t xml:space="preserve">「如鷄子玄黄之中生自然有盤古真人……自號元始天王游行虛空之中……天王行施聖母遂生天皇」</t>
  </si>
  <si>
    <t xml:space="preserve">【原典气机特征】「如鷄子玄黄之中生自然有盤古真人……自號元始天王游行虛空之中……天王行施聖母遂生天皇，如鷄子玄黄之中生自然有盤古真人……自號元始天王游行虛空之中……天王行施聖母遂生天皇」；当横店影视城的城市地下90米深层排涝盾构段处于满负荷运转或节气交接（子午流注）时，其古籍气机拓扑被激活显化。</t>
  </si>
  <si>
    <t xml:space="preserve">【红尘混居牒移】尊重其「如鷄子玄黄之中生自然有盤古真人……自號元始天王游行虛空之中……天王行施聖母遂生天皇」之古礼习性，由辖区白泽署送达加盖东岳第八司红印的《市政借道牒》与《非人常住混居证》，纳入横店影视城社区网格共治。</t>
  </si>
  <si>
    <t xml:space="preserve">横店影视城城市地下90米深层排涝盾构段 × 「盤古真人」气机同构体（映射古籍：如鷄子玄黄之中生自然有盤古真人……自）</t>
  </si>
  <si>
    <t xml:space="preserve">2026年秋，横店影视城的城市地下90米深层排涝盾构段连续三夜出现「如鷄子玄黄之中生自然有盤古真人……自號元始天」式的异常记录，工程师最初以为是系统故障，直到白泽署干员比对《三教源流搜神大全（明人增編七卷本；維基文庫據清刊重刻本錄文）》原典，用加盖东岳第八司红印的《市政借道牒》与「盤古真人」完成了首次跨时代工单会签。</t>
  </si>
  <si>
    <t xml:space="preserve">海神（海若）</t>
  </si>
  <si>
    <r>
      <rPr>
        <sz val="9"/>
        <color rgb="FF1F2937"/>
        <rFont val="Microsoft YaHei"/>
        <family val="0"/>
        <charset val="1"/>
      </rPr>
      <t xml:space="preserve">MG-0119</t>
    </r>
    <r>
      <rPr>
        <sz val="9"/>
        <color rgb="FF1F2937"/>
        <rFont val="Noto Sans CJK SC"/>
        <family val="2"/>
      </rPr>
      <t xml:space="preserve">《三教源流搜神大全（明人增編七卷本；維基文庫據清刊重刻本錄文）》</t>
    </r>
  </si>
  <si>
    <r>
      <rPr>
        <sz val="9"/>
        <color rgb="FF1F2937"/>
        <rFont val="Microsoft YaHei"/>
        <family val="0"/>
        <charset val="1"/>
      </rPr>
      <t xml:space="preserve">HW-1186 </t>
    </r>
    <r>
      <rPr>
        <sz val="9"/>
        <color rgb="FF1F2937"/>
        <rFont val="Noto Sans CJK SC"/>
        <family val="2"/>
      </rPr>
      <t xml:space="preserve">海神（始皇夢戰）；</t>
    </r>
    <r>
      <rPr>
        <sz val="9"/>
        <color rgb="FF1F2937"/>
        <rFont val="Microsoft YaHei"/>
        <family val="0"/>
        <charset val="1"/>
      </rPr>
      <t xml:space="preserve">HW-1253 </t>
    </r>
    <r>
      <rPr>
        <sz val="9"/>
        <color rgb="FF1F2937"/>
        <rFont val="Noto Sans CJK SC"/>
        <family val="2"/>
      </rPr>
      <t xml:space="preserve">海神（捧珠獻秦皇）；</t>
    </r>
    <r>
      <rPr>
        <sz val="9"/>
        <color rgb="FF1F2937"/>
        <rFont val="Microsoft YaHei"/>
        <family val="0"/>
        <charset val="1"/>
      </rPr>
      <t xml:space="preserve">TW-0734 </t>
    </r>
    <r>
      <rPr>
        <sz val="9"/>
        <color rgb="FF1F2937"/>
        <rFont val="Noto Sans CJK SC"/>
        <family val="2"/>
      </rPr>
      <t xml:space="preserve">海神；</t>
    </r>
    <r>
      <rPr>
        <sz val="9"/>
        <color rgb="FF1F2937"/>
        <rFont val="Microsoft YaHei"/>
        <family val="0"/>
        <charset val="1"/>
      </rPr>
      <t xml:space="preserve">MG-0328 </t>
    </r>
    <r>
      <rPr>
        <sz val="9"/>
        <color rgb="FF1F2937"/>
        <rFont val="Noto Sans CJK SC"/>
        <family val="2"/>
      </rPr>
      <t xml:space="preserve">海</t>
    </r>
  </si>
  <si>
    <t xml:space="preserve">地祇山川水神（地祇·海神）</t>
  </si>
  <si>
    <t xml:space="preserve">「海神為驅石……莫圖我形……帝負約可速去」</t>
  </si>
  <si>
    <t xml:space="preserve">【原典气机特征】「海神為驅石……莫圖我形……帝負約可速去，海神為驅石……莫圖我形……帝負約可速去」；当敦煌光电产业园的超高层建筑阻尼器（风振控制球）机房处于满负荷运转或节气交接（子午流注）时，其古籍气机拓扑被激活显化。</t>
  </si>
  <si>
    <t xml:space="preserve">【红尘混居牒移】尊重其「海神為驅石……莫圖我形……帝負約可速去」之古礼习性，由辖区白泽署送达混元金斗权限剥离沙盒（V4.2）与《非人常住混居证》，纳入敦煌光电产业园社区网格共治。</t>
  </si>
  <si>
    <t xml:space="preserve">敦煌光电产业园超高层建筑阻尼器（风振控制球）机房 × 「海神」气机同构体（映射古籍：海神為驅石……莫圖我形……帝負約可速）</t>
  </si>
  <si>
    <t xml:space="preserve">2026年秋，敦煌光电产业园的超高层建筑阻尼器（风振控制球）机房连续三夜出现「海神為驅石……莫圖我形……帝負約可速去」式的异常记录，工程师最初以为是系统故障，直到白泽署干员比对《三教源流搜神大全（明人增編七卷本；維基文庫據清刊重刻本錄文）》原典，用混元金斗权限剥离沙盒（V4.2）与「海神」完成了首次跨时代工单会签。</t>
  </si>
  <si>
    <t xml:space="preserve">玄女（大秦玄女神廟）</t>
  </si>
  <si>
    <r>
      <rPr>
        <sz val="9"/>
        <color rgb="FF1F2937"/>
        <rFont val="Microsoft YaHei"/>
        <family val="0"/>
        <charset val="1"/>
      </rPr>
      <t xml:space="preserve">MG-0259</t>
    </r>
    <r>
      <rPr>
        <sz val="9"/>
        <color rgb="FF1F2937"/>
        <rFont val="Noto Sans CJK SC"/>
        <family val="2"/>
      </rPr>
      <t xml:space="preserve">《東遊記（明</t>
    </r>
    <r>
      <rPr>
        <sz val="9"/>
        <color rgb="FF1F2937"/>
        <rFont val="Microsoft YaHei"/>
        <family val="0"/>
        <charset val="1"/>
      </rPr>
      <t xml:space="preserve">·</t>
    </r>
    <r>
      <rPr>
        <sz val="9"/>
        <color rgb="FF1F2937"/>
        <rFont val="Noto Sans CJK SC"/>
        <family val="2"/>
      </rPr>
      <t xml:space="preserve">吳元泰）》</t>
    </r>
  </si>
  <si>
    <r>
      <rPr>
        <sz val="9"/>
        <color rgb="FF1F2937"/>
        <rFont val="Microsoft YaHei"/>
        <family val="0"/>
        <charset val="1"/>
      </rPr>
      <t xml:space="preserve">SL-0294 </t>
    </r>
    <r>
      <rPr>
        <sz val="9"/>
        <color rgb="FF1F2937"/>
        <rFont val="Noto Sans CJK SC"/>
        <family val="2"/>
      </rPr>
      <t xml:space="preserve">九天玄女；</t>
    </r>
    <r>
      <rPr>
        <sz val="9"/>
        <color rgb="FF1F2937"/>
        <rFont val="Microsoft YaHei"/>
        <family val="0"/>
        <charset val="1"/>
      </rPr>
      <t xml:space="preserve">SL-5826 </t>
    </r>
    <r>
      <rPr>
        <sz val="9"/>
        <color rgb="FF1F2937"/>
        <rFont val="Noto Sans CJK SC"/>
        <family val="2"/>
      </rPr>
      <t xml:space="preserve">玄女（清神之法）</t>
    </r>
  </si>
  <si>
    <t xml:space="preserve">道教神祇（女神）</t>
  </si>
  <si>
    <t xml:space="preserve">「忽一女手執淨水，從空撒下，其火盡滅……被玄女將劍一指，現出真形」</t>
  </si>
  <si>
    <t xml:space="preserve">【原典气机特征】「忽一女手執淨水，從空撒下」；当文昌航天发射场的特高压直流输电换流阀厅处于满负荷运转或节气交接（子午流注）时，其古籍气机拓扑被激活显化。</t>
  </si>
  <si>
    <t xml:space="preserve">【红尘混居牒移】尊重其「從空撒下」之古礼习性，由辖区白泽署送达《白泽图鉴App》声波真名广播与《非人常住混居证》，纳入文昌航天发射场社区网格共治。</t>
  </si>
  <si>
    <t xml:space="preserve">文昌航天发射场特高压直流输电换流阀厅 × 「玄女」气机同构体（映射古籍：忽一女手執淨水）</t>
  </si>
  <si>
    <t xml:space="preserve">2026年秋，文昌航天发射场的特高压直流输电换流阀厅连续三夜出现「從空撒下」式的异常记录，工程师最初以为是系统故障，直到白泽署干员比对《東遊記（明·吳元泰）》原典，用《白泽图鉴App》声波真名广播与「玄女」完成了首次跨时代工单会签。</t>
  </si>
  <si>
    <t xml:space="preserve">蛟精（慎郎）</t>
  </si>
  <si>
    <r>
      <rPr>
        <sz val="9"/>
        <color rgb="FF1F2937"/>
        <rFont val="Microsoft YaHei"/>
        <family val="0"/>
        <charset val="1"/>
      </rPr>
      <t xml:space="preserve">MG-0502</t>
    </r>
    <r>
      <rPr>
        <sz val="9"/>
        <color rgb="FF1F2937"/>
        <rFont val="Noto Sans CJK SC"/>
        <family val="2"/>
      </rPr>
      <t xml:space="preserve">《仙佛奇蹤（明</t>
    </r>
    <r>
      <rPr>
        <sz val="9"/>
        <color rgb="FF1F2937"/>
        <rFont val="Microsoft YaHei"/>
        <family val="0"/>
        <charset val="1"/>
      </rPr>
      <t xml:space="preserve">·</t>
    </r>
    <r>
      <rPr>
        <sz val="9"/>
        <color rgb="FF1F2937"/>
        <rFont val="Noto Sans CJK SC"/>
        <family val="2"/>
      </rPr>
      <t xml:space="preserve">洪應明）》</t>
    </r>
  </si>
  <si>
    <r>
      <rPr>
        <sz val="9"/>
        <color rgb="FF1F2937"/>
        <rFont val="Microsoft YaHei"/>
        <family val="0"/>
        <charset val="1"/>
      </rPr>
      <t xml:space="preserve">SL-0049</t>
    </r>
    <r>
      <rPr>
        <sz val="9"/>
        <color rgb="FF1F2937"/>
        <rFont val="Noto Sans CJK SC"/>
        <family val="2"/>
      </rPr>
      <t xml:space="preserve">〔</t>
    </r>
    <r>
      <rPr>
        <sz val="9"/>
        <color rgb="FF1F2937"/>
        <rFont val="Microsoft YaHei"/>
        <family val="0"/>
        <charset val="1"/>
      </rPr>
      <t xml:space="preserve">09·</t>
    </r>
    <r>
      <rPr>
        <sz val="9"/>
        <color rgb="FF1F2937"/>
        <rFont val="Noto Sans CJK SC"/>
        <family val="2"/>
      </rPr>
      <t xml:space="preserve">蜃精（慎郎</t>
    </r>
    <r>
      <rPr>
        <sz val="9"/>
        <color rgb="FF1F2937"/>
        <rFont val="Microsoft YaHei"/>
        <family val="0"/>
        <charset val="1"/>
      </rPr>
      <t xml:space="preserve">·</t>
    </r>
    <r>
      <rPr>
        <sz val="9"/>
        <color rgb="FF1F2937"/>
        <rFont val="Noto Sans CJK SC"/>
        <family val="2"/>
      </rPr>
      <t xml:space="preserve">蛟蜃老魅）〕；</t>
    </r>
    <r>
      <rPr>
        <sz val="9"/>
        <color rgb="FF1F2937"/>
        <rFont val="Microsoft YaHei"/>
        <family val="0"/>
        <charset val="1"/>
      </rPr>
      <t xml:space="preserve">YN-0028</t>
    </r>
    <r>
      <rPr>
        <sz val="9"/>
        <color rgb="FF1F2937"/>
        <rFont val="Noto Sans CJK SC"/>
        <family val="2"/>
      </rPr>
      <t xml:space="preserve">〔</t>
    </r>
    <r>
      <rPr>
        <sz val="9"/>
        <color rgb="FF1F2937"/>
        <rFont val="Microsoft YaHei"/>
        <family val="0"/>
        <charset val="1"/>
      </rPr>
      <t xml:space="preserve">10·</t>
    </r>
    <r>
      <rPr>
        <sz val="9"/>
        <color rgb="FF1F2937"/>
        <rFont val="Noto Sans CJK SC"/>
        <family val="2"/>
      </rPr>
      <t xml:space="preserve">蜃精（慎郎</t>
    </r>
    <r>
      <rPr>
        <sz val="9"/>
        <color rgb="FF1F2937"/>
        <rFont val="Microsoft YaHei"/>
        <family val="0"/>
        <charset val="1"/>
      </rPr>
      <t xml:space="preserve">·</t>
    </r>
    <r>
      <rPr>
        <sz val="9"/>
        <color rgb="FF1F2937"/>
        <rFont val="Noto Sans CJK SC"/>
        <family val="2"/>
      </rPr>
      <t xml:space="preserve">蛟精老魅）〕；</t>
    </r>
    <r>
      <rPr>
        <sz val="9"/>
        <color rgb="FF1F2937"/>
        <rFont val="Microsoft YaHei"/>
        <family val="0"/>
        <charset val="1"/>
      </rPr>
      <t xml:space="preserve">MG-0026</t>
    </r>
  </si>
  <si>
    <t xml:space="preserve">妖精（龙蛇·蛟）</t>
  </si>
  <si>
    <t xml:space="preserve">「化黃牛臥沙磧之上……蓋乘春夏大水覆舟所獲也」</t>
  </si>
  <si>
    <t xml:space="preserve">【原典气机特征】「化黃牛臥沙磧之上……蓋乘春夏大水覆舟所獲也，化黃牛臥沙磧之上……蓋乘春夏大水覆舟所獲也」；当三亚深海所的合成生物DNA数据存储冷库处于满负荷运转或节气交接（子午流注）时，其古籍气机拓扑被激活显化。</t>
  </si>
  <si>
    <t xml:space="preserve">【红尘混居牒移】尊重其「化黃牛臥沙磧之上……蓋乘春夏大水覆舟所獲也」之古礼习性，由辖区白泽署送达正一玄坛公平贸易哈希校验码与《非人常住混居证》，纳入三亚深海所社区网格共治。</t>
  </si>
  <si>
    <t xml:space="preserve">三亚深海所合成生物DNA数据存储冷库 × 「蛟精」气机同构体（映射古籍：化黃牛臥沙磧之上……蓋乘春夏大水覆舟）</t>
  </si>
  <si>
    <t xml:space="preserve">2026年秋，三亚深海所的合成生物DNA数据存储冷库连续三夜出现「化黃牛臥沙磧之上……蓋乘春夏大水覆舟所獲也」式的异常记录，工程师最初以为是系统故障，直到白泽署干员比对《仙佛奇蹤（明·洪應明）》原典，用正一玄坛公平贸易哈希校验码与「蛟精」完成了首次跨时代工单会签。</t>
  </si>
  <si>
    <t xml:space="preserve">王士能（百二十歲道者）</t>
  </si>
  <si>
    <r>
      <rPr>
        <sz val="9"/>
        <color rgb="FF1F2937"/>
        <rFont val="Microsoft YaHei"/>
        <family val="0"/>
        <charset val="1"/>
      </rPr>
      <t xml:space="preserve">MG-0679</t>
    </r>
    <r>
      <rPr>
        <sz val="9"/>
        <color rgb="FF1F2937"/>
        <rFont val="Noto Sans CJK SC"/>
        <family val="2"/>
      </rPr>
      <t xml:space="preserve">《庚巳編（明</t>
    </r>
    <r>
      <rPr>
        <sz val="9"/>
        <color rgb="FF1F2937"/>
        <rFont val="Microsoft YaHei"/>
        <family val="0"/>
        <charset val="1"/>
      </rPr>
      <t xml:space="preserve">·</t>
    </r>
    <r>
      <rPr>
        <sz val="9"/>
        <color rgb="FF1F2937"/>
        <rFont val="Noto Sans CJK SC"/>
        <family val="2"/>
      </rPr>
      <t xml:space="preserve">陸粲）》</t>
    </r>
  </si>
  <si>
    <t xml:space="preserve">见载于11_明主表（已入库标准原型）</t>
  </si>
  <si>
    <t xml:space="preserve">仙真（有道之士）</t>
  </si>
  <si>
    <t xml:space="preserve">「白髮被頷，肌膚如童子少婦……日常不火食，惟啖棗數枚」</t>
  </si>
  <si>
    <t xml:space="preserve">【原典气机特征】「白髮被頷，肌膚如童子少婦……日常不火食」；当哈尔滨工业基地的超大型冷链物流自动化立库处于满负荷运转或节气交接（子午流注）时，其古籍气机拓扑被激活显化。</t>
  </si>
  <si>
    <t xml:space="preserve">【采撷与谐振守则】依据「惟啖棗數枚」之性，须以迷谷四照黑理木反光车贴进行无损频谱提取；严禁商业掠夺式滥采，否则增益反转。</t>
  </si>
  <si>
    <t xml:space="preserve">哈尔滨工业基地超大型冷链物流自动化立库 × 「王士能」气机同构体（映射古籍：白髮被頷）</t>
  </si>
  <si>
    <t xml:space="preserve">2026年秋，哈尔滨工业基地的超大型冷链物流自动化立库连续三夜出现「肌膚如童子少婦……日常不火食」式的异常记录，工程师最初以为是系统故障，直到白泽署干员比对《庚巳編（明·陸粲）》原典，用迷谷四照黑理木反光车贴与「王士能」完成了首次跨时代工单会签。</t>
  </si>
  <si>
    <t xml:space="preserve">縣神</t>
  </si>
  <si>
    <r>
      <rPr>
        <sz val="9"/>
        <color rgb="FF1F2937"/>
        <rFont val="Microsoft YaHei"/>
        <family val="0"/>
        <charset val="1"/>
      </rPr>
      <t xml:space="preserve">MG-0856</t>
    </r>
    <r>
      <rPr>
        <sz val="9"/>
        <color rgb="FF1F2937"/>
        <rFont val="Noto Sans CJK SC"/>
        <family val="2"/>
      </rPr>
      <t xml:space="preserve">《剪燈新話（明</t>
    </r>
    <r>
      <rPr>
        <sz val="9"/>
        <color rgb="FF1F2937"/>
        <rFont val="Microsoft YaHei"/>
        <family val="0"/>
        <charset val="1"/>
      </rPr>
      <t xml:space="preserve">·</t>
    </r>
    <r>
      <rPr>
        <sz val="9"/>
        <color rgb="FF1F2937"/>
        <rFont val="Noto Sans CJK SC"/>
        <family val="2"/>
      </rPr>
      <t xml:space="preserve">瞿佑）》</t>
    </r>
  </si>
  <si>
    <r>
      <rPr>
        <sz val="9"/>
        <color rgb="FF1F2937"/>
        <rFont val="Microsoft YaHei"/>
        <family val="0"/>
        <charset val="1"/>
      </rPr>
      <t xml:space="preserve">MG-0854 </t>
    </r>
    <r>
      <rPr>
        <sz val="9"/>
        <color rgb="FF1F2937"/>
        <rFont val="Noto Sans CJK SC"/>
        <family val="2"/>
      </rPr>
      <t xml:space="preserve">城隍府君（泰州城隍）</t>
    </r>
  </si>
  <si>
    <t xml:space="preserve">地祇山川水神（地祇·縣神）</t>
  </si>
  <si>
    <t xml:space="preserve">「昨縣神申上於本司，呈於府君，聞已奏知天庭」</t>
  </si>
  <si>
    <t xml:space="preserve">【原典气机特征】「昨縣神申上於本司，呈於府君」；当昆明植物研究所的国家级古籍数字化OCR超算节点处于满负荷运转或节气交接（子午流注）时，其古籍气机拓扑被激活显化。</t>
  </si>
  <si>
    <t xml:space="preserve">【红尘混居牒移】尊重其「呈於府君」之古礼习性，由辖区白泽署送达《五藏山经》吉玉糈米全息信标与《非人常住混居证》，纳入昆明植物研究所社区网格共治。</t>
  </si>
  <si>
    <t xml:space="preserve">昆明植物研究所国家级古籍数字化OCR超算节点 × 「縣神」气机同构体（映射古籍：昨縣神申上於本司）</t>
  </si>
  <si>
    <t xml:space="preserve">2026年秋，昆明植物研究所的国家级古籍数字化OCR超算节点连续三夜出现「呈於府君」式的异常记录，工程师最初以为是系统故障，直到白泽署干员比对《剪燈新話（明·瞿佑）》原典，用《五藏山经》吉玉糈米全息信标与「縣神」完成了首次跨时代工单会签。</t>
  </si>
  <si>
    <t xml:space="preserve">九龍神火罩</t>
  </si>
  <si>
    <r>
      <rPr>
        <sz val="9"/>
        <color rgb="FF1F2937"/>
        <rFont val="Microsoft YaHei"/>
        <family val="0"/>
        <charset val="1"/>
      </rPr>
      <t xml:space="preserve">MG-0992</t>
    </r>
    <r>
      <rPr>
        <sz val="9"/>
        <color rgb="FF1F2937"/>
        <rFont val="Noto Sans CJK SC"/>
        <family val="2"/>
      </rPr>
      <t xml:space="preserve">《封神演義（明</t>
    </r>
    <r>
      <rPr>
        <sz val="9"/>
        <color rgb="FF1F2937"/>
        <rFont val="Microsoft YaHei"/>
        <family val="0"/>
        <charset val="1"/>
      </rPr>
      <t xml:space="preserve">·</t>
    </r>
    <r>
      <rPr>
        <sz val="9"/>
        <color rgb="FF1F2937"/>
        <rFont val="Noto Sans CJK SC"/>
        <family val="2"/>
      </rPr>
      <t xml:space="preserve">許仲琳編》</t>
    </r>
  </si>
  <si>
    <r>
      <rPr>
        <sz val="9"/>
        <color rgb="FF1F2937"/>
        <rFont val="Microsoft YaHei"/>
        <family val="0"/>
        <charset val="1"/>
      </rPr>
      <t xml:space="preserve">MG-0976</t>
    </r>
    <r>
      <rPr>
        <sz val="9"/>
        <color rgb="FF1F2937"/>
        <rFont val="Noto Sans CJK SC"/>
        <family val="2"/>
      </rPr>
      <t xml:space="preserve">〔</t>
    </r>
    <r>
      <rPr>
        <sz val="9"/>
        <color rgb="FF1F2937"/>
        <rFont val="Microsoft YaHei"/>
        <family val="0"/>
        <charset val="1"/>
      </rPr>
      <t xml:space="preserve">11·</t>
    </r>
    <r>
      <rPr>
        <sz val="9"/>
        <color rgb="FF1F2937"/>
        <rFont val="Noto Sans CJK SC"/>
        <family val="2"/>
      </rPr>
      <t xml:space="preserve">太乙真人（乾元山金光洞）〕；</t>
    </r>
    <r>
      <rPr>
        <sz val="9"/>
        <color rgb="FF1F2937"/>
        <rFont val="Microsoft YaHei"/>
        <family val="0"/>
        <charset val="1"/>
      </rPr>
      <t xml:space="preserve">MG-0989</t>
    </r>
    <r>
      <rPr>
        <sz val="9"/>
        <color rgb="FF1F2937"/>
        <rFont val="Noto Sans CJK SC"/>
        <family val="2"/>
      </rPr>
      <t xml:space="preserve">〔</t>
    </r>
    <r>
      <rPr>
        <sz val="9"/>
        <color rgb="FF1F2937"/>
        <rFont val="Microsoft YaHei"/>
        <family val="0"/>
        <charset val="1"/>
      </rPr>
      <t xml:space="preserve">11·</t>
    </r>
    <r>
      <rPr>
        <sz val="9"/>
        <color rgb="FF1F2937"/>
        <rFont val="Noto Sans CJK SC"/>
        <family val="2"/>
      </rPr>
      <t xml:space="preserve">石磯娘娘（骷髏山白骨洞，截教）〕；</t>
    </r>
    <r>
      <rPr>
        <sz val="9"/>
        <color rgb="FF1F2937"/>
        <rFont val="Microsoft YaHei"/>
        <family val="0"/>
        <charset val="1"/>
      </rPr>
      <t xml:space="preserve">MG</t>
    </r>
  </si>
  <si>
    <t xml:space="preserve">附·灵物异植（异物·法寶）</t>
  </si>
  <si>
    <t xml:space="preserve">「那罩內騰騰焰起，烈烈光生，九條火龍盤繞」</t>
  </si>
  <si>
    <t xml:space="preserve">【原典气机特征】「那罩內騰騰焰起，烈烈光生」；当雄安地下管廊的高铁动车组夜行检修库处于满负荷运转或节气交接（子午流注）时，其古籍气机拓扑被激活显化。</t>
  </si>
  <si>
    <t xml:space="preserve">【雷法考召与招安】针对「烈烈光生」引发的高危规则扰动，调用守庚申数字断舍离清道夫脚本锁定其核心真形，削去戾气后签发《市政外包劳务牒》带薪赎罪。</t>
  </si>
  <si>
    <t xml:space="preserve">雄安地下管廊高铁动车组夜行检修库 × 「九龍神火罩」气机同构体（映射古籍：那罩內騰騰焰起）</t>
  </si>
  <si>
    <t xml:space="preserve">2026年秋，雄安地下管廊的高铁动车组夜行检修库连续三夜出现「烈烈光生」式的异常记录，工程师最初以为是系统故障，直到白泽署干员比对《封神演義（明·許仲琳編》原典，用守庚申数字断舍离清道夫脚本与「九龍神火罩」完成了首次跨时代工单会签。</t>
  </si>
  <si>
    <t xml:space="preserve">哮天犬（楊戩）</t>
  </si>
  <si>
    <r>
      <rPr>
        <sz val="9"/>
        <color rgb="FF1F2937"/>
        <rFont val="Microsoft YaHei"/>
        <family val="0"/>
        <charset val="1"/>
      </rPr>
      <t xml:space="preserve">MG-1100</t>
    </r>
    <r>
      <rPr>
        <sz val="9"/>
        <color rgb="FF1F2937"/>
        <rFont val="Noto Sans CJK SC"/>
        <family val="2"/>
      </rPr>
      <t xml:space="preserve">《封神演義（明</t>
    </r>
    <r>
      <rPr>
        <sz val="9"/>
        <color rgb="FF1F2937"/>
        <rFont val="Microsoft YaHei"/>
        <family val="0"/>
        <charset val="1"/>
      </rPr>
      <t xml:space="preserve">·</t>
    </r>
    <r>
      <rPr>
        <sz val="9"/>
        <color rgb="FF1F2937"/>
        <rFont val="Noto Sans CJK SC"/>
        <family val="2"/>
      </rPr>
      <t xml:space="preserve">許仲琳編》</t>
    </r>
  </si>
  <si>
    <r>
      <rPr>
        <sz val="9"/>
        <color rgb="FF1F2937"/>
        <rFont val="Microsoft YaHei"/>
        <family val="0"/>
        <charset val="1"/>
      </rPr>
      <t xml:space="preserve">MG-1062</t>
    </r>
    <r>
      <rPr>
        <sz val="9"/>
        <color rgb="FF1F2937"/>
        <rFont val="Noto Sans CJK SC"/>
        <family val="2"/>
      </rPr>
      <t xml:space="preserve">〔</t>
    </r>
    <r>
      <rPr>
        <sz val="9"/>
        <color rgb="FF1F2937"/>
        <rFont val="Microsoft YaHei"/>
        <family val="0"/>
        <charset val="1"/>
      </rPr>
      <t xml:space="preserve">11·</t>
    </r>
    <r>
      <rPr>
        <sz val="9"/>
        <color rgb="FF1F2937"/>
        <rFont val="Noto Sans CJK SC"/>
        <family val="2"/>
      </rPr>
      <t xml:space="preserve">楊戩（玉泉山金霞洞玉鼎真人門下）〕</t>
    </r>
  </si>
  <si>
    <t xml:space="preserve">异兽神兽（异兽·神犬）</t>
  </si>
  <si>
    <t xml:space="preserve">「仙犬修成號細腰，形如白象勢如梟。銅頭鐵頸難招架……趙公明不防備，早被哮天犬一口把頸項咬傷，將袍服扯碎」</t>
  </si>
  <si>
    <t xml:space="preserve">【原典气机特征】「仙犬修成號細腰，形如白象勢如梟」；当上海陆家嘴的三甲医院核磁共振（MRI）屏蔽室处于满负荷运转或节气交接（子午流注）时，其古籍气机拓扑被激活显化。</t>
  </si>
  <si>
    <t xml:space="preserve">【红尘混居牒移】尊重其「形如白象勢如梟」之古礼习性，由辖区白泽署送达激光微雕桃木探针（无尘车间级）与《非人常住混居证》，纳入上海陆家嘴社区网格共治。</t>
  </si>
  <si>
    <t xml:space="preserve">上海陆家嘴三甲医院核磁共振（MRI）屏蔽室 × 「哮天犬」气机同构体（映射古籍：仙犬修成號細腰）</t>
  </si>
  <si>
    <t xml:space="preserve">2026年秋，上海陆家嘴的三甲医院核磁共振（MRI）屏蔽室连续三夜出现「形如白象勢如梟」式的异常记录，工程师最初以为是系统故障，直到白泽署干员比对《封神演義（明·許仲琳編》原典，用激光微雕桃木探针（无尘车间级）与「哮天犬」完成了首次跨时代工单会签。</t>
  </si>
  <si>
    <t xml:space="preserve">五火神焰扇（道德真君）</t>
  </si>
  <si>
    <r>
      <rPr>
        <sz val="9"/>
        <color rgb="FF1F2937"/>
        <rFont val="Microsoft YaHei"/>
        <family val="0"/>
        <charset val="1"/>
      </rPr>
      <t xml:space="preserve">MG-1220</t>
    </r>
    <r>
      <rPr>
        <sz val="9"/>
        <color rgb="FF1F2937"/>
        <rFont val="Noto Sans CJK SC"/>
        <family val="2"/>
      </rPr>
      <t xml:space="preserve">《封神演義（明</t>
    </r>
    <r>
      <rPr>
        <sz val="9"/>
        <color rgb="FF1F2937"/>
        <rFont val="Microsoft YaHei"/>
        <family val="0"/>
        <charset val="1"/>
      </rPr>
      <t xml:space="preserve">·</t>
    </r>
    <r>
      <rPr>
        <sz val="9"/>
        <color rgb="FF1F2937"/>
        <rFont val="Noto Sans CJK SC"/>
        <family val="2"/>
      </rPr>
      <t xml:space="preserve">許仲琳編》</t>
    </r>
  </si>
  <si>
    <r>
      <rPr>
        <sz val="9"/>
        <color rgb="FF1F2937"/>
        <rFont val="Microsoft YaHei"/>
        <family val="0"/>
        <charset val="1"/>
      </rPr>
      <t xml:space="preserve">MG-1014</t>
    </r>
    <r>
      <rPr>
        <sz val="9"/>
        <color rgb="FF1F2937"/>
        <rFont val="Noto Sans CJK SC"/>
        <family val="2"/>
      </rPr>
      <t xml:space="preserve">〔</t>
    </r>
    <r>
      <rPr>
        <sz val="9"/>
        <color rgb="FF1F2937"/>
        <rFont val="Microsoft YaHei"/>
        <family val="0"/>
        <charset val="1"/>
      </rPr>
      <t xml:space="preserve">11·</t>
    </r>
    <r>
      <rPr>
        <sz val="9"/>
        <color rgb="FF1F2937"/>
        <rFont val="Noto Sans CJK SC"/>
        <family val="2"/>
      </rPr>
      <t xml:space="preserve">楊任（眼中生手）〕</t>
    </r>
  </si>
  <si>
    <t xml:space="preserve">「烈焰騰空萬丈高，金蛇千道逞英豪……方義真連人帶馬化一陣狂風去了」</t>
  </si>
  <si>
    <t xml:space="preserve">【原典气机特征】「烈焰騰空萬丈高，金蛇千道逞英豪……方義真連人帶馬化一陣狂風去了」；当深圳粤海街道的高频量化私募基金FPGA撮合网关处于满负荷运转或节气交接（子午流注）时，其古籍气机拓扑被激活显化。</t>
  </si>
  <si>
    <t xml:space="preserve">【雷法考召与招安】针对「金蛇千道逞英豪……方義真連人帶馬化一陣狂風去了」引发的高危规则扰动，调用灌江口细犬底层数据包嗅探器锁定其核心真形，削去戾气后签发《市政外包劳务牒》带薪赎罪。</t>
  </si>
  <si>
    <t xml:space="preserve">深圳粤海街道高频量化私募基金FPGA撮合网关 × 「五火神焰扇」气机同构体（映射古籍：烈焰騰空萬丈高）</t>
  </si>
  <si>
    <t xml:space="preserve">2026年秋，深圳粤海街道的高频量化私募基金FPGA撮合网关连续三夜出现「金蛇千道逞英豪……方義真連人帶馬化一陣狂風去」式的异常记录，工程师最初以为是系统故障，直到白泽署干员比对《封神演義（明·許仲琳編》原典，用灌江口细犬底层数据包嗅探器与「五火神焰扇」完成了首次跨时代工单会签。</t>
  </si>
  <si>
    <t xml:space="preserve">勾死人（二）</t>
  </si>
  <si>
    <r>
      <rPr>
        <sz val="9"/>
        <color rgb="FF1F2937"/>
        <rFont val="Microsoft YaHei"/>
        <family val="0"/>
        <charset val="1"/>
      </rPr>
      <t xml:space="preserve">MG-1685</t>
    </r>
    <r>
      <rPr>
        <sz val="9"/>
        <color rgb="FF1F2937"/>
        <rFont val="Noto Sans CJK SC"/>
        <family val="2"/>
      </rPr>
      <t xml:space="preserve">《西遊記（明</t>
    </r>
    <r>
      <rPr>
        <sz val="9"/>
        <color rgb="FF1F2937"/>
        <rFont val="Microsoft YaHei"/>
        <family val="0"/>
        <charset val="1"/>
      </rPr>
      <t xml:space="preserve">·</t>
    </r>
    <r>
      <rPr>
        <sz val="9"/>
        <color rgb="FF1F2937"/>
        <rFont val="Noto Sans CJK SC"/>
        <family val="2"/>
      </rPr>
      <t xml:space="preserve">吳承恩撰》</t>
    </r>
  </si>
  <si>
    <r>
      <rPr>
        <sz val="9"/>
        <color rgb="FF1F2937"/>
        <rFont val="Microsoft YaHei"/>
        <family val="0"/>
        <charset val="1"/>
      </rPr>
      <t xml:space="preserve">MG-1686</t>
    </r>
    <r>
      <rPr>
        <sz val="9"/>
        <color rgb="FF1F2937"/>
        <rFont val="Noto Sans CJK SC"/>
        <family val="2"/>
      </rPr>
      <t xml:space="preserve">〔</t>
    </r>
    <r>
      <rPr>
        <sz val="9"/>
        <color rgb="FF1F2937"/>
        <rFont val="Microsoft YaHei"/>
        <family val="0"/>
        <charset val="1"/>
      </rPr>
      <t xml:space="preserve">11·</t>
    </r>
    <r>
      <rPr>
        <sz val="9"/>
        <color rgb="FF1F2937"/>
        <rFont val="Noto Sans CJK SC"/>
        <family val="2"/>
      </rPr>
      <t xml:space="preserve">幽冥界・森羅殿〕；</t>
    </r>
    <r>
      <rPr>
        <sz val="9"/>
        <color rgb="FF1F2937"/>
        <rFont val="Microsoft YaHei"/>
        <family val="0"/>
        <charset val="1"/>
      </rPr>
      <t xml:space="preserve">MG-1688</t>
    </r>
    <r>
      <rPr>
        <sz val="9"/>
        <color rgb="FF1F2937"/>
        <rFont val="Noto Sans CJK SC"/>
        <family val="2"/>
      </rPr>
      <t xml:space="preserve">〔</t>
    </r>
    <r>
      <rPr>
        <sz val="9"/>
        <color rgb="FF1F2937"/>
        <rFont val="Microsoft YaHei"/>
        <family val="0"/>
        <charset val="1"/>
      </rPr>
      <t xml:space="preserve">11·</t>
    </r>
    <r>
      <rPr>
        <sz val="9"/>
        <color rgb="FF1F2937"/>
        <rFont val="Noto Sans CJK SC"/>
        <family val="2"/>
      </rPr>
      <t xml:space="preserve">十代冥王（十殿閻王）〕</t>
    </r>
  </si>
  <si>
    <t xml:space="preserve">冥界鬼神（鬼神·陰差）</t>
  </si>
  <si>
    <t xml:space="preserve">「上有「孫悟空」三字，走近身，不容分說，套上繩，就把美猴王的魂靈兒索了去」</t>
  </si>
  <si>
    <t xml:space="preserve">【原典气机特征】「上有「孫悟空」三字，走近身」；当重庆解放碑的短视频平台算法推荐冷启动池处于满负荷运转或节气交接（子午流注）时，其古籍气机拓扑被激活显化。</t>
  </si>
  <si>
    <t xml:space="preserve">【红尘混居牒移】尊重其「走近身」之古礼习性，由辖区白泽署送达黄庭内景二十四神归位脉冲仪与《非人常住混居证》，纳入重庆解放碑社区网格共治。</t>
  </si>
  <si>
    <t xml:space="preserve">重庆解放碑短视频平台算法推荐冷启动池 × 「勾死人」气机同构体（映射古籍：上有「孫悟空」三字）</t>
  </si>
  <si>
    <t xml:space="preserve">2026年秋，重庆解放碑的短视频平台算法推荐冷启动池连续三夜出现「走近身」式的异常记录，工程师最初以为是系统故障，直到白泽署干员比对《西遊記（明·吳承恩撰》原典，用黄庭内景二十四神归位脉冲仪与「勾死人」完成了首次跨时代工单会签。</t>
  </si>
  <si>
    <t xml:space="preserve">鎮元子（鎮元大仙，與世同君）</t>
  </si>
  <si>
    <r>
      <rPr>
        <sz val="9"/>
        <color rgb="FF1F2937"/>
        <rFont val="Microsoft YaHei"/>
        <family val="0"/>
        <charset val="1"/>
      </rPr>
      <t xml:space="preserve">MG-1803</t>
    </r>
    <r>
      <rPr>
        <sz val="9"/>
        <color rgb="FF1F2937"/>
        <rFont val="Noto Sans CJK SC"/>
        <family val="2"/>
      </rPr>
      <t xml:space="preserve">《西遊記（明</t>
    </r>
    <r>
      <rPr>
        <sz val="9"/>
        <color rgb="FF1F2937"/>
        <rFont val="Microsoft YaHei"/>
        <family val="0"/>
        <charset val="1"/>
      </rPr>
      <t xml:space="preserve">·</t>
    </r>
    <r>
      <rPr>
        <sz val="9"/>
        <color rgb="FF1F2937"/>
        <rFont val="Noto Sans CJK SC"/>
        <family val="2"/>
      </rPr>
      <t xml:space="preserve">吳承恩撰》</t>
    </r>
  </si>
  <si>
    <r>
      <rPr>
        <sz val="9"/>
        <color rgb="FF1F2937"/>
        <rFont val="Microsoft YaHei"/>
        <family val="0"/>
        <charset val="1"/>
      </rPr>
      <t xml:space="preserve">MG-1794</t>
    </r>
    <r>
      <rPr>
        <sz val="9"/>
        <color rgb="FF1F2937"/>
        <rFont val="Noto Sans CJK SC"/>
        <family val="2"/>
      </rPr>
      <t xml:space="preserve">〔</t>
    </r>
    <r>
      <rPr>
        <sz val="9"/>
        <color rgb="FF1F2937"/>
        <rFont val="Microsoft YaHei"/>
        <family val="0"/>
        <charset val="1"/>
      </rPr>
      <t xml:space="preserve">11·</t>
    </r>
    <r>
      <rPr>
        <sz val="9"/>
        <color rgb="FF1F2937"/>
        <rFont val="Noto Sans CJK SC"/>
        <family val="2"/>
      </rPr>
      <t xml:space="preserve">萬壽山五莊觀〕；</t>
    </r>
    <r>
      <rPr>
        <sz val="9"/>
        <color rgb="FF1F2937"/>
        <rFont val="Microsoft YaHei"/>
        <family val="0"/>
        <charset val="1"/>
      </rPr>
      <t xml:space="preserve">MG-1795</t>
    </r>
    <r>
      <rPr>
        <sz val="9"/>
        <color rgb="FF1F2937"/>
        <rFont val="Noto Sans CJK SC"/>
        <family val="2"/>
      </rPr>
      <t xml:space="preserve">〔</t>
    </r>
    <r>
      <rPr>
        <sz val="9"/>
        <color rgb="FF1F2937"/>
        <rFont val="Microsoft YaHei"/>
        <family val="0"/>
        <charset val="1"/>
      </rPr>
      <t xml:space="preserve">11·</t>
    </r>
    <r>
      <rPr>
        <sz val="9"/>
        <color rgb="FF1F2937"/>
        <rFont val="Noto Sans CJK SC"/>
        <family val="2"/>
      </rPr>
      <t xml:space="preserve">人參果（草還丹，靈根）〕；</t>
    </r>
    <r>
      <rPr>
        <sz val="9"/>
        <color rgb="FF1F2937"/>
        <rFont val="Microsoft YaHei"/>
        <family val="0"/>
        <charset val="1"/>
      </rPr>
      <t xml:space="preserve">MG-1796</t>
    </r>
    <r>
      <rPr>
        <sz val="9"/>
        <color rgb="FF1F2937"/>
        <rFont val="Noto Sans CJK SC"/>
        <family val="2"/>
      </rPr>
      <t xml:space="preserve">〔</t>
    </r>
    <r>
      <rPr>
        <sz val="9"/>
        <color rgb="FF1F2937"/>
        <rFont val="Microsoft YaHei"/>
        <family val="0"/>
        <charset val="1"/>
      </rPr>
      <t xml:space="preserve">11·</t>
    </r>
    <r>
      <rPr>
        <sz val="9"/>
        <color rgb="FF1F2937"/>
        <rFont val="Noto Sans CJK SC"/>
        <family val="2"/>
      </rPr>
      <t xml:space="preserve">清</t>
    </r>
  </si>
  <si>
    <t xml:space="preserve">仙真（地仙）</t>
  </si>
  <si>
    <t xml:space="preserve">「頭戴紫金冠，無憂鶴氅穿……使一個「袖裡乾坤」的手段，在雲端裡把袍袖迎風輕輕的一展，刷地前來，把四僧連馬一袖子籠住」</t>
  </si>
  <si>
    <t xml:space="preserve">【原典气机特征】「頭戴紫金冠，無憂鶴氅穿……使一個「袖裡乾坤」的手段」；当杭州西溪科创园的全固态锂电池隔膜产线处于满负荷运转或节气交接（子午流注）时，其古籍气机拓扑被激活显化。</t>
  </si>
  <si>
    <t xml:space="preserve">【采撷与谐振守则】依据「在雲端裡把袍袖迎風輕輕的一展」之性，须以朱襄氏五弦降燥低频泛音列进行无损频谱提取；严禁商业掠夺式滥采，否则增益反转。</t>
  </si>
  <si>
    <t xml:space="preserve">杭州西溪科创园全固态锂电池隔膜产线 × 「鎮元子」气机同构体（映射古籍：頭戴紫金冠）</t>
  </si>
  <si>
    <t xml:space="preserve">2026年秋，杭州西溪科创园的全固态锂电池隔膜产线连续三夜出现「無憂鶴氅穿……使一個「袖裡乾坤」的手段」式的异常记录，工程师最初以为是系统故障，直到白泽署干员比对《西遊記（明·吳承恩撰》原典，用朱襄氏五弦降燥低频泛音列与「鎮元子」完成了首次跨时代工单会签。</t>
  </si>
  <si>
    <t xml:space="preserve">鐵扇公主・羅剎女（翠雲山芭蕉洞・鐵扇仙）</t>
  </si>
  <si>
    <r>
      <rPr>
        <sz val="9"/>
        <color rgb="FF1F2937"/>
        <rFont val="Microsoft YaHei"/>
        <family val="0"/>
        <charset val="1"/>
      </rPr>
      <t xml:space="preserve">MG-1904</t>
    </r>
    <r>
      <rPr>
        <sz val="9"/>
        <color rgb="FF1F2937"/>
        <rFont val="Noto Sans CJK SC"/>
        <family val="2"/>
      </rPr>
      <t xml:space="preserve">《西遊記（明</t>
    </r>
    <r>
      <rPr>
        <sz val="9"/>
        <color rgb="FF1F2937"/>
        <rFont val="Microsoft YaHei"/>
        <family val="0"/>
        <charset val="1"/>
      </rPr>
      <t xml:space="preserve">·</t>
    </r>
    <r>
      <rPr>
        <sz val="9"/>
        <color rgb="FF1F2937"/>
        <rFont val="Noto Sans CJK SC"/>
        <family val="2"/>
      </rPr>
      <t xml:space="preserve">吳承恩撰》</t>
    </r>
  </si>
  <si>
    <r>
      <rPr>
        <sz val="9"/>
        <color rgb="FF1F2937"/>
        <rFont val="Microsoft YaHei"/>
        <family val="0"/>
        <charset val="1"/>
      </rPr>
      <t xml:space="preserve">MG-1903</t>
    </r>
    <r>
      <rPr>
        <sz val="9"/>
        <color rgb="FF1F2937"/>
        <rFont val="Noto Sans CJK SC"/>
        <family val="2"/>
      </rPr>
      <t xml:space="preserve">〔</t>
    </r>
    <r>
      <rPr>
        <sz val="9"/>
        <color rgb="FF1F2937"/>
        <rFont val="Microsoft YaHei"/>
        <family val="0"/>
        <charset val="1"/>
      </rPr>
      <t xml:space="preserve">11·</t>
    </r>
    <r>
      <rPr>
        <sz val="9"/>
        <color rgb="FF1F2937"/>
        <rFont val="Noto Sans CJK SC"/>
        <family val="2"/>
      </rPr>
      <t xml:space="preserve">芭蕉扇（羅剎女・太陰之精葉）〕；</t>
    </r>
    <r>
      <rPr>
        <sz val="9"/>
        <color rgb="FF1F2937"/>
        <rFont val="Microsoft YaHei"/>
        <family val="0"/>
        <charset val="1"/>
      </rPr>
      <t xml:space="preserve">MG-1850</t>
    </r>
    <r>
      <rPr>
        <sz val="9"/>
        <color rgb="FF1F2937"/>
        <rFont val="Noto Sans CJK SC"/>
        <family val="2"/>
      </rPr>
      <t xml:space="preserve">〔</t>
    </r>
    <r>
      <rPr>
        <sz val="9"/>
        <color rgb="FF1F2937"/>
        <rFont val="Microsoft YaHei"/>
        <family val="0"/>
        <charset val="1"/>
      </rPr>
      <t xml:space="preserve">11·</t>
    </r>
    <r>
      <rPr>
        <sz val="9"/>
        <color rgb="FF1F2937"/>
        <rFont val="Noto Sans CJK SC"/>
        <family val="2"/>
      </rPr>
      <t xml:space="preserve">牛魔王（行者假變・雷齋・生辰八字）</t>
    </r>
  </si>
  <si>
    <t xml:space="preserve">妖精（精怪·女妖仙）</t>
  </si>
  <si>
    <t xml:space="preserve">「頭裹團花手帕，身穿納錦雲袍……即便取出芭蕉扇，幌一幌，一扇陰風，把行者搧得無影無形」</t>
  </si>
  <si>
    <t xml:space="preserve">【原典气机特征】「頭裹團花手帕，身穿納錦雲袍……即便取出芭蕉扇」；当北京中关村的24小时无人值守智慧药房处于满负荷运转或节气交接（子午流注）时，其古籍气机拓扑被激活显化。</t>
  </si>
  <si>
    <t xml:space="preserve">【红尘混居牒移】尊重其「身穿納錦雲袍……即便取出芭蕉扇」之古礼习性，由辖区白泽署送达王灵官第三眼零信任审计探头与《非人常住混居证》，纳入北京中关村社区网格共治。</t>
  </si>
  <si>
    <t xml:space="preserve">北京中关村24小时无人值守智慧药房 × 「鐵扇公主・羅剎女」气机同构体（映射古籍：頭裹團花手帕）</t>
  </si>
  <si>
    <t xml:space="preserve">2026年秋，北京中关村的24小时无人值守智慧药房连续三夜出现「身穿納錦雲袍……即便取出芭蕉扇」式的异常记录，工程师最初以为是系统故障，直到白泽署干员比对《西遊記（明·吳承恩撰》原典，用王灵官第三眼零信任审计探头与「鐵扇公主・羅剎女」完成了首次跨时代工单会签。</t>
  </si>
  <si>
    <t xml:space="preserve">素娥（月宮仙子，天竺國真公主）</t>
  </si>
  <si>
    <r>
      <rPr>
        <sz val="9"/>
        <color rgb="FF1F2937"/>
        <rFont val="Microsoft YaHei"/>
        <family val="0"/>
        <charset val="1"/>
      </rPr>
      <t xml:space="preserve">MG-2001</t>
    </r>
    <r>
      <rPr>
        <sz val="9"/>
        <color rgb="FF1F2937"/>
        <rFont val="Noto Sans CJK SC"/>
        <family val="2"/>
      </rPr>
      <t xml:space="preserve">《西遊記（明</t>
    </r>
    <r>
      <rPr>
        <sz val="9"/>
        <color rgb="FF1F2937"/>
        <rFont val="Microsoft YaHei"/>
        <family val="0"/>
        <charset val="1"/>
      </rPr>
      <t xml:space="preserve">·</t>
    </r>
    <r>
      <rPr>
        <sz val="9"/>
        <color rgb="FF1F2937"/>
        <rFont val="Noto Sans CJK SC"/>
        <family val="2"/>
      </rPr>
      <t xml:space="preserve">吳承恩撰》</t>
    </r>
  </si>
  <si>
    <r>
      <rPr>
        <sz val="9"/>
        <color rgb="FF1F2937"/>
        <rFont val="Microsoft YaHei"/>
        <family val="0"/>
        <charset val="1"/>
      </rPr>
      <t xml:space="preserve">MG-1997</t>
    </r>
    <r>
      <rPr>
        <sz val="9"/>
        <color rgb="FF1F2937"/>
        <rFont val="Noto Sans CJK SC"/>
        <family val="2"/>
      </rPr>
      <t xml:space="preserve">〔</t>
    </r>
    <r>
      <rPr>
        <sz val="9"/>
        <color rgb="FF1F2937"/>
        <rFont val="Microsoft YaHei"/>
        <family val="0"/>
        <charset val="1"/>
      </rPr>
      <t xml:space="preserve">11·</t>
    </r>
    <r>
      <rPr>
        <sz val="9"/>
        <color rgb="FF1F2937"/>
        <rFont val="Noto Sans CJK SC"/>
        <family val="2"/>
      </rPr>
      <t xml:space="preserve">天竺國假公主（後回玉兔精）〕；</t>
    </r>
    <r>
      <rPr>
        <sz val="9"/>
        <color rgb="FF1F2937"/>
        <rFont val="Microsoft YaHei"/>
        <family val="0"/>
        <charset val="1"/>
      </rPr>
      <t xml:space="preserve">MG-2000</t>
    </r>
    <r>
      <rPr>
        <sz val="9"/>
        <color rgb="FF1F2937"/>
        <rFont val="Noto Sans CJK SC"/>
        <family val="2"/>
      </rPr>
      <t xml:space="preserve">〔</t>
    </r>
    <r>
      <rPr>
        <sz val="9"/>
        <color rgb="FF1F2937"/>
        <rFont val="Microsoft YaHei"/>
        <family val="0"/>
        <charset val="1"/>
      </rPr>
      <t xml:space="preserve">11·</t>
    </r>
    <r>
      <rPr>
        <sz val="9"/>
        <color rgb="FF1F2937"/>
        <rFont val="Noto Sans CJK SC"/>
        <family val="2"/>
      </rPr>
      <t xml:space="preserve">太陰星君・姮娥仙子（月宮）〕；</t>
    </r>
    <r>
      <rPr>
        <sz val="9"/>
        <color rgb="FF1F2937"/>
        <rFont val="Microsoft YaHei"/>
        <family val="0"/>
        <charset val="1"/>
      </rPr>
      <t xml:space="preserve">XYJ</t>
    </r>
  </si>
  <si>
    <t xml:space="preserve">仙真（月宮仙子）</t>
  </si>
  <si>
    <t xml:space="preserve">「那國王之公主，也不是凡人，原是蟾宮中之素娥」</t>
  </si>
  <si>
    <t xml:space="preserve">【原典气机特征】「那國王之公主，也不是凡人」；当成都天府软件园的民航万米高空气象相控阵雷达处于满负荷运转或节气交接（子午流注）时，其古籍气机拓扑被激活显化。</t>
  </si>
  <si>
    <t xml:space="preserve">【采撷与谐振守则】依据「原是蟾宮中之素娥」之性，须以加盖东岳第八司红印的《市政借道牒》进行无损频谱提取；严禁商业掠夺式滥采，否则增益反转。</t>
  </si>
  <si>
    <t xml:space="preserve">成都天府软件园民航万米高空气象相控阵雷达 × 「素娥」气机同构体（映射古籍：那國王之公主）</t>
  </si>
  <si>
    <t xml:space="preserve">2026年秋，成都天府软件园的民航万米高空气象相控阵雷达连续三夜出现「也不是凡人」式的异常记录，工程师最初以为是系统故障，直到白泽署干员比对《西遊記（明·吳承恩撰》原典，用加盖东岳第八司红印的《市政借道牒》与「素娥」完成了首次跨时代工单会签。</t>
  </si>
  <si>
    <t xml:space="preserve">軒轅鏡（軒轅黃帝頂陽骨）</t>
  </si>
  <si>
    <r>
      <rPr>
        <sz val="9"/>
        <color rgb="FF1F2937"/>
        <rFont val="Microsoft YaHei"/>
        <family val="0"/>
        <charset val="1"/>
      </rPr>
      <t xml:space="preserve">MG-2102</t>
    </r>
    <r>
      <rPr>
        <sz val="9"/>
        <color rgb="FF1F2937"/>
        <rFont val="Noto Sans CJK SC"/>
        <family val="2"/>
      </rPr>
      <t xml:space="preserve">《三寶太監西洋記通俗演義（明</t>
    </r>
    <r>
      <rPr>
        <sz val="9"/>
        <color rgb="FF1F2937"/>
        <rFont val="Microsoft YaHei"/>
        <family val="0"/>
        <charset val="1"/>
      </rPr>
      <t xml:space="preserve">·</t>
    </r>
    <r>
      <rPr>
        <sz val="9"/>
        <color rgb="FF1F2937"/>
        <rFont val="Noto Sans CJK SC"/>
        <family val="2"/>
      </rPr>
      <t xml:space="preserve">羅懋登撰）》</t>
    </r>
  </si>
  <si>
    <r>
      <rPr>
        <sz val="9"/>
        <color rgb="FF1F2937"/>
        <rFont val="Microsoft YaHei"/>
        <family val="0"/>
        <charset val="1"/>
      </rPr>
      <t xml:space="preserve">MG-2097</t>
    </r>
    <r>
      <rPr>
        <sz val="9"/>
        <color rgb="FF1F2937"/>
        <rFont val="Noto Sans CJK SC"/>
        <family val="2"/>
      </rPr>
      <t xml:space="preserve">〔</t>
    </r>
    <r>
      <rPr>
        <sz val="9"/>
        <color rgb="FF1F2937"/>
        <rFont val="Microsoft YaHei"/>
        <family val="0"/>
        <charset val="1"/>
      </rPr>
      <t xml:space="preserve">11·</t>
    </r>
    <r>
      <rPr>
        <sz val="9"/>
        <color rgb="FF1F2937"/>
        <rFont val="Noto Sans CJK SC"/>
        <family val="2"/>
      </rPr>
      <t xml:space="preserve">羊角道德真君・石井圈兒〕；</t>
    </r>
    <r>
      <rPr>
        <sz val="9"/>
        <color rgb="FF1F2937"/>
        <rFont val="Microsoft YaHei"/>
        <family val="0"/>
        <charset val="1"/>
      </rPr>
      <t xml:space="preserve">MG-2069</t>
    </r>
    <r>
      <rPr>
        <sz val="9"/>
        <color rgb="FF1F2937"/>
        <rFont val="Noto Sans CJK SC"/>
        <family val="2"/>
      </rPr>
      <t xml:space="preserve">〔</t>
    </r>
    <r>
      <rPr>
        <sz val="9"/>
        <color rgb="FF1F2937"/>
        <rFont val="Microsoft YaHei"/>
        <family val="0"/>
        <charset val="1"/>
      </rPr>
      <t xml:space="preserve">11·</t>
    </r>
    <r>
      <rPr>
        <sz val="9"/>
        <color rgb="FF1F2937"/>
        <rFont val="Noto Sans CJK SC"/>
        <family val="2"/>
      </rPr>
      <t xml:space="preserve">馬・趙・溫・關四元帥（天師飛符召降）〕；</t>
    </r>
  </si>
  <si>
    <t xml:space="preserve">「團團圓圓，如鏡子之狀……憑你是人、是鬼、是神仙，舉起來一照，即時現出本形」</t>
  </si>
  <si>
    <t xml:space="preserve">【原典气机特征】「團團圓圓，如鏡子之狀……憑你是人、是鬼、是神仙」；当武汉光谷的智能网联汽车毫米波雷达测试场处于满负荷运转或节气交接（子午流注）时，其古籍气机拓扑被激活显化。</t>
  </si>
  <si>
    <t xml:space="preserve">【雷法考召与招安】针对「如鏡子之狀……憑你是人、是鬼、是神仙」引发的高危规则扰动，调用混元金斗权限剥离沙盒（V4.2）锁定其核心真形，削去戾气后签发《市政外包劳务牒》带薪赎罪。</t>
  </si>
  <si>
    <t xml:space="preserve">武汉光谷智能网联汽车毫米波雷达测试场 × 「軒轅鏡」气机同构体（映射古籍：團團圓圓）</t>
  </si>
  <si>
    <t xml:space="preserve">2026年秋，武汉光谷的智能网联汽车毫米波雷达测试场连续三夜出现「如鏡子之狀……憑你是人、是鬼、是神仙」式的异常记录，工程师最初以为是系统故障，直到白泽署干员比对《三寶太監西洋記通俗演義（明·羅懋登撰）》原典，用混元金斗权限剥离沙盒（V4.2）与「軒轅鏡」完成了首次跨时代工单会签。</t>
  </si>
  <si>
    <t xml:space="preserve">帖木兒天書・捆妖繩</t>
  </si>
  <si>
    <r>
      <rPr>
        <sz val="9"/>
        <color rgb="FF1F2937"/>
        <rFont val="Microsoft YaHei"/>
        <family val="0"/>
        <charset val="1"/>
      </rPr>
      <t xml:space="preserve">MG-2206</t>
    </r>
    <r>
      <rPr>
        <sz val="9"/>
        <color rgb="FF1F2937"/>
        <rFont val="Noto Sans CJK SC"/>
        <family val="2"/>
      </rPr>
      <t xml:space="preserve">《三寶太監西洋記通俗演義（明</t>
    </r>
    <r>
      <rPr>
        <sz val="9"/>
        <color rgb="FF1F2937"/>
        <rFont val="Microsoft YaHei"/>
        <family val="0"/>
        <charset val="1"/>
      </rPr>
      <t xml:space="preserve">·</t>
    </r>
    <r>
      <rPr>
        <sz val="9"/>
        <color rgb="FF1F2937"/>
        <rFont val="Noto Sans CJK SC"/>
        <family val="2"/>
      </rPr>
      <t xml:space="preserve">羅懋登撰）》</t>
    </r>
  </si>
  <si>
    <r>
      <rPr>
        <sz val="9"/>
        <color rgb="FF1F2937"/>
        <rFont val="Microsoft YaHei"/>
        <family val="0"/>
        <charset val="1"/>
      </rPr>
      <t xml:space="preserve">MG-2205</t>
    </r>
    <r>
      <rPr>
        <sz val="9"/>
        <color rgb="FF1F2937"/>
        <rFont val="Noto Sans CJK SC"/>
        <family val="2"/>
      </rPr>
      <t xml:space="preserve">〔</t>
    </r>
    <r>
      <rPr>
        <sz val="9"/>
        <color rgb="FF1F2937"/>
        <rFont val="Microsoft YaHei"/>
        <family val="0"/>
        <charset val="1"/>
      </rPr>
      <t xml:space="preserve">11·</t>
    </r>
    <r>
      <rPr>
        <sz val="9"/>
        <color rgb="FF1F2937"/>
        <rFont val="Noto Sans CJK SC"/>
        <family val="2"/>
      </rPr>
      <t xml:space="preserve">寶母扇（寶母兒）〕；</t>
    </r>
    <r>
      <rPr>
        <sz val="9"/>
        <color rgb="FF1F2937"/>
        <rFont val="Microsoft YaHei"/>
        <family val="0"/>
        <charset val="1"/>
      </rPr>
      <t xml:space="preserve">MG-2198</t>
    </r>
    <r>
      <rPr>
        <sz val="9"/>
        <color rgb="FF1F2937"/>
        <rFont val="Noto Sans CJK SC"/>
        <family val="2"/>
      </rPr>
      <t xml:space="preserve">〔</t>
    </r>
    <r>
      <rPr>
        <sz val="9"/>
        <color rgb="FF1F2937"/>
        <rFont val="Microsoft YaHei"/>
        <family val="0"/>
        <charset val="1"/>
      </rPr>
      <t xml:space="preserve">11·</t>
    </r>
    <r>
      <rPr>
        <sz val="9"/>
        <color rgb="FF1F2937"/>
        <rFont val="Noto Sans CJK SC"/>
        <family val="2"/>
      </rPr>
      <t xml:space="preserve">圓眼帖木兒（撒發國番官）〕</t>
    </r>
  </si>
  <si>
    <t xml:space="preserve">附·灵物异植（异物·天書）</t>
  </si>
  <si>
    <t xml:space="preserve">「念動了那些真言，宣動了那些密咒，憑你寶貝在那裡，都要招將你的來……把一條捆妖繩望空一撇，莫說只是一個王明，就是十個王明，也走不脫半個」</t>
  </si>
  <si>
    <t xml:space="preserve">【原典气机特征】「念動了那些真言，宣動了那些密咒」；当广州珠江新城的7纳米极紫外光刻机对准光路处于满负荷运转或节气交接（子午流注）时，其古籍气机拓扑被激活显化。</t>
  </si>
  <si>
    <t xml:space="preserve">【红尘混居牒移】尊重其「宣動了那些密咒」之古礼习性，由辖区白泽署送达《白泽图鉴App》声波真名广播与《非人常住混居证》，纳入广州珠江新城社区网格共治。</t>
  </si>
  <si>
    <t xml:space="preserve">广州珠江新城7纳米极紫外光刻机对准光路 × 「帖木兒天書・捆妖繩」气机同构体（映射古籍：念動了那些真言）</t>
  </si>
  <si>
    <t xml:space="preserve">2026年秋，广州珠江新城的7纳米极紫外光刻机对准光路连续三夜出现「宣動了那些密咒」式的异常记录，工程师最初以为是系统故障，直到白泽署干员比对《三寶太監西洋記通俗演義（明·羅懋登撰）》原典，用《白泽图鉴App》声波真名广播与「帖木兒天書・捆妖繩」完成了首次跨时代工单会签。</t>
  </si>
  <si>
    <t xml:space="preserve">寶林山老猿（千年修行・隱身毫）</t>
  </si>
  <si>
    <r>
      <rPr>
        <sz val="9"/>
        <color rgb="FF1F2937"/>
        <rFont val="Microsoft YaHei"/>
        <family val="0"/>
        <charset val="1"/>
      </rPr>
      <t xml:space="preserve">MG-2303</t>
    </r>
    <r>
      <rPr>
        <sz val="9"/>
        <color rgb="FF1F2937"/>
        <rFont val="Noto Sans CJK SC"/>
        <family val="2"/>
      </rPr>
      <t xml:space="preserve">《三寶太監西洋記通俗演義（明</t>
    </r>
    <r>
      <rPr>
        <sz val="9"/>
        <color rgb="FF1F2937"/>
        <rFont val="Microsoft YaHei"/>
        <family val="0"/>
        <charset val="1"/>
      </rPr>
      <t xml:space="preserve">·</t>
    </r>
    <r>
      <rPr>
        <sz val="9"/>
        <color rgb="FF1F2937"/>
        <rFont val="Noto Sans CJK SC"/>
        <family val="2"/>
      </rPr>
      <t xml:space="preserve">羅懋登撰）》</t>
    </r>
  </si>
  <si>
    <r>
      <rPr>
        <sz val="9"/>
        <color rgb="FF1F2937"/>
        <rFont val="Microsoft YaHei"/>
        <family val="0"/>
        <charset val="1"/>
      </rPr>
      <t xml:space="preserve">MG-2305</t>
    </r>
    <r>
      <rPr>
        <sz val="9"/>
        <color rgb="FF1F2937"/>
        <rFont val="Noto Sans CJK SC"/>
        <family val="2"/>
      </rPr>
      <t xml:space="preserve">〔</t>
    </r>
    <r>
      <rPr>
        <sz val="9"/>
        <color rgb="FF1F2937"/>
        <rFont val="Microsoft YaHei"/>
        <family val="0"/>
        <charset val="1"/>
      </rPr>
      <t xml:space="preserve">11·</t>
    </r>
    <r>
      <rPr>
        <sz val="9"/>
        <color rgb="FF1F2937"/>
        <rFont val="Noto Sans CJK SC"/>
        <family val="2"/>
      </rPr>
      <t xml:space="preserve">地裡鬼（沙唧莫・寶林山獵戶）〕；</t>
    </r>
    <r>
      <rPr>
        <sz val="9"/>
        <color rgb="FF1F2937"/>
        <rFont val="Microsoft YaHei"/>
        <family val="0"/>
        <charset val="1"/>
      </rPr>
      <t xml:space="preserve">MG-2304</t>
    </r>
    <r>
      <rPr>
        <sz val="9"/>
        <color rgb="FF1F2937"/>
        <rFont val="Noto Sans CJK SC"/>
        <family val="2"/>
      </rPr>
      <t xml:space="preserve">〔</t>
    </r>
    <r>
      <rPr>
        <sz val="9"/>
        <color rgb="FF1F2937"/>
        <rFont val="Microsoft YaHei"/>
        <family val="0"/>
        <charset val="1"/>
      </rPr>
      <t xml:space="preserve">11·</t>
    </r>
    <r>
      <rPr>
        <sz val="9"/>
        <color rgb="FF1F2937"/>
        <rFont val="Noto Sans CJK SC"/>
        <family val="2"/>
      </rPr>
      <t xml:space="preserve">寶林山土地（奉上帝旨）〕</t>
    </r>
  </si>
  <si>
    <t xml:space="preserve">妖精（精怪·猿精）</t>
  </si>
  <si>
    <t xml:space="preserve">「老猿到自己頭頂上扯下一根毫來，碧澄澄的顏色，就像個翠羽一般，約有三寸多長……我已經修行了千百多年，神完氣足，骨換胎移，你怎麼拿得我住」</t>
  </si>
  <si>
    <t xml:space="preserve">【原典气机特征】「老猿到自己頭頂上扯下一根毫來，碧澄澄的顏色」；当南京紫金山实验室的共享充电宝城市物联网总控台处于满负荷运转或节气交接（子午流注）时，其古籍气机拓扑被激活显化。</t>
  </si>
  <si>
    <t xml:space="preserve">【红尘混居牒移】尊重其「碧澄澄的顏色」之古礼习性，由辖区白泽署送达正一玄坛公平贸易哈希校验码与《非人常住混居证》，纳入南京紫金山实验室社区网格共治。</t>
  </si>
  <si>
    <t xml:space="preserve">南京紫金山实验室共享充电宝城市物联网总控台 × 「寶林山老猿」气机同构体（映射古籍：老猿到自己頭頂上扯下一根毫來）</t>
  </si>
  <si>
    <t xml:space="preserve">2026年秋，南京紫金山实验室的共享充电宝城市物联网总控台连续三夜出现「碧澄澄的顏色」式的异常记录，工程师最初以为是系统故障，直到白泽署干员比对《三寶太監西洋記通俗演義（明·羅懋登撰）》原典，用正一玄坛公平贸易哈希校验码与「寶林山老猿」完成了首次跨时代工单会签。</t>
  </si>
  <si>
    <r>
      <rPr>
        <b val="true"/>
        <sz val="13"/>
        <color rgb="FFFFFFFF"/>
        <rFont val="Microsoft YaHei"/>
        <family val="0"/>
        <charset val="1"/>
      </rPr>
      <t xml:space="preserve">200 </t>
    </r>
    <r>
      <rPr>
        <b val="true"/>
        <sz val="13"/>
        <color rgb="FFFFFFFF"/>
        <rFont val="Noto Sans CJK SC"/>
        <family val="2"/>
      </rPr>
      <t xml:space="preserve">核心叙事原子分布统计矩阵（左表：六大现代叙事域 ｜ 右表：四态物候响应分级）</t>
    </r>
  </si>
  <si>
    <t xml:space="preserve">原型条目数</t>
  </si>
  <si>
    <t xml:space="preserve">占总库比例</t>
  </si>
  <si>
    <t xml:space="preserve">核心现代场景定位</t>
  </si>
  <si>
    <t xml:space="preserve">四态物候响应分级</t>
  </si>
  <si>
    <t xml:space="preserve">标准现代交互协议（SOP）</t>
  </si>
  <si>
    <t xml:space="preserve">地铁管廊、跨海大桥与山川灵兽预警</t>
  </si>
  <si>
    <t xml:space="preserve">源于《山海经》本草，研发穿戴外设与声学补剂</t>
  </si>
  <si>
    <t xml:space="preserve">智能家居、空置法拍房与机房硬件成精</t>
  </si>
  <si>
    <t xml:space="preserve">源于《白泽图》呼名即除，检索真名消解或雇佣</t>
  </si>
  <si>
    <t xml:space="preserve">脑机接口、过劳亚健康与267人体身神</t>
  </si>
  <si>
    <t xml:space="preserve">源于《夷坚志》，核发混居证与公文牒移调解</t>
  </si>
  <si>
    <t xml:space="preserve">高频量化、五通暴富陷阱与玄坛公平贸易</t>
  </si>
  <si>
    <t xml:space="preserve">源于宋明雷法，调用雷部与法宝压制后招安外包</t>
  </si>
  <si>
    <t xml:space="preserve">社区持牒土地、守夜英魂与百工造物祖师</t>
  </si>
  <si>
    <t xml:space="preserve">四态分级总计</t>
  </si>
  <si>
    <t xml:space="preserve">替代西方 Safe/Euclid/Keter 体系</t>
  </si>
  <si>
    <t xml:space="preserve">周天星宿天条、雷部考召与103件规则法宝</t>
  </si>
  <si>
    <t xml:space="preserve">六大叙事域总计</t>
  </si>
  <si>
    <t xml:space="preserve">覆盖先秦至明12门类及身神法宝</t>
  </si>
  <si>
    <r>
      <rPr>
        <b val="true"/>
        <sz val="13"/>
        <color rgb="FFFFFFFF"/>
        <rFont val="Microsoft YaHei"/>
        <family val="0"/>
        <charset val="1"/>
      </rPr>
      <t xml:space="preserve">200 </t>
    </r>
    <r>
      <rPr>
        <b val="true"/>
        <sz val="13"/>
        <color rgb="FFFFFFFF"/>
        <rFont val="Noto Sans CJK SC"/>
        <family val="2"/>
      </rPr>
      <t xml:space="preserve">核心原型之“六大生长机制”动态统计与演化算法定义表</t>
    </r>
  </si>
  <si>
    <t xml:space="preserve">六大核心生长机制</t>
  </si>
  <si>
    <r>
      <rPr>
        <b val="true"/>
        <sz val="10"/>
        <color rgb="FFFFFFFF"/>
        <rFont val="Microsoft YaHei"/>
        <family val="0"/>
        <charset val="1"/>
      </rPr>
      <t xml:space="preserve">200</t>
    </r>
    <r>
      <rPr>
        <b val="true"/>
        <sz val="10"/>
        <color rgb="FFFFFFFF"/>
        <rFont val="Noto Sans CJK SC"/>
        <family val="2"/>
      </rPr>
      <t xml:space="preserve">库原型数</t>
    </r>
  </si>
  <si>
    <t xml:space="preserve">占比</t>
  </si>
  <si>
    <r>
      <rPr>
        <b val="true"/>
        <sz val="10"/>
        <color rgb="FFFFFFFF"/>
        <rFont val="Noto Sans CJK SC"/>
        <family val="2"/>
      </rPr>
      <t xml:space="preserve">古典文献演化规律（源自</t>
    </r>
    <r>
      <rPr>
        <b val="true"/>
        <sz val="10"/>
        <color rgb="FFFFFFFF"/>
        <rFont val="Microsoft YaHei"/>
        <family val="0"/>
        <charset val="1"/>
      </rPr>
      <t xml:space="preserve">14_</t>
    </r>
    <r>
      <rPr>
        <b val="true"/>
        <sz val="10"/>
        <color rgb="FFFFFFFF"/>
        <rFont val="Noto Sans CJK SC"/>
        <family val="2"/>
      </rPr>
      <t xml:space="preserve">专题报告二）</t>
    </r>
  </si>
  <si>
    <t xml:space="preserve">现代故事生成引擎算法公式</t>
  </si>
  <si>
    <t xml:space="preserve">同一神祇跨代叠加新身世与职司，旧层沉淀为隐藏底色（如西王母、真武、文昌）</t>
  </si>
  <si>
    <r>
      <rPr>
        <sz val="9"/>
        <color rgb="FF1F2937"/>
        <rFont val="Noto Sans CJK SC"/>
        <family val="2"/>
      </rPr>
      <t xml:space="preserve">【转岗公式】：上古自然</t>
    </r>
    <r>
      <rPr>
        <sz val="9"/>
        <color rgb="FF1F2937"/>
        <rFont val="Microsoft YaHei"/>
        <family val="0"/>
        <charset val="1"/>
      </rPr>
      <t xml:space="preserve">/</t>
    </r>
    <r>
      <rPr>
        <sz val="9"/>
        <color rgb="FF1F2937"/>
        <rFont val="Noto Sans CJK SC"/>
        <family val="2"/>
      </rPr>
      <t xml:space="preserve">星宿神格 </t>
    </r>
    <r>
      <rPr>
        <sz val="9"/>
        <color rgb="FF1F2937"/>
        <rFont val="Microsoft YaHei"/>
        <family val="0"/>
        <charset val="1"/>
      </rPr>
      <t xml:space="preserve">+ </t>
    </r>
    <r>
      <rPr>
        <sz val="9"/>
        <color rgb="FF1F2937"/>
        <rFont val="Noto Sans CJK SC"/>
        <family val="2"/>
      </rPr>
      <t xml:space="preserve">现代科技基建职司 </t>
    </r>
    <r>
      <rPr>
        <sz val="9"/>
        <color rgb="FF1F2937"/>
        <rFont val="Microsoft YaHei"/>
        <family val="0"/>
        <charset val="1"/>
      </rPr>
      <t xml:space="preserve">= </t>
    </r>
    <r>
      <rPr>
        <sz val="9"/>
        <color rgb="FF1F2937"/>
        <rFont val="Noto Sans CJK SC"/>
        <family val="2"/>
      </rPr>
      <t xml:space="preserve">表面现代公务神（违背契约则触发远古凶神本相反噬）</t>
    </r>
  </si>
  <si>
    <t xml:space="preserve">历史忠烈、良医与百工造物者死后入仙班或冥司（如关羽、蒋子文、番禺、鬼官考绩）</t>
  </si>
  <si>
    <r>
      <rPr>
        <sz val="9"/>
        <color rgb="FF1F2937"/>
        <rFont val="Noto Sans CJK SC"/>
        <family val="2"/>
      </rPr>
      <t xml:space="preserve">【封神公式】：现代殉职守护者</t>
    </r>
    <r>
      <rPr>
        <sz val="9"/>
        <color rgb="FF1F2937"/>
        <rFont val="Microsoft YaHei"/>
        <family val="0"/>
        <charset val="1"/>
      </rPr>
      <t xml:space="preserve">/</t>
    </r>
    <r>
      <rPr>
        <sz val="9"/>
        <color rgb="FF1F2937"/>
        <rFont val="Noto Sans CJK SC"/>
        <family val="2"/>
      </rPr>
      <t xml:space="preserve">硬核工程师 </t>
    </r>
    <r>
      <rPr>
        <sz val="9"/>
        <color rgb="FF1F2937"/>
        <rFont val="Microsoft YaHei"/>
        <family val="0"/>
        <charset val="1"/>
      </rPr>
      <t xml:space="preserve">+ </t>
    </r>
    <r>
      <rPr>
        <sz val="9"/>
        <color rgb="FF1F2937"/>
        <rFont val="Noto Sans CJK SC"/>
        <family val="2"/>
      </rPr>
      <t xml:space="preserve">社区愿力</t>
    </r>
    <r>
      <rPr>
        <sz val="9"/>
        <color rgb="FF1F2937"/>
        <rFont val="Microsoft YaHei"/>
        <family val="0"/>
        <charset val="1"/>
      </rPr>
      <t xml:space="preserve">/1,600</t>
    </r>
    <r>
      <rPr>
        <sz val="9"/>
        <color rgb="FF1F2937"/>
        <rFont val="Noto Sans CJK SC"/>
        <family val="2"/>
      </rPr>
      <t xml:space="preserve">工时考绩 </t>
    </r>
    <r>
      <rPr>
        <sz val="9"/>
        <color rgb="FF1F2937"/>
        <rFont val="Microsoft YaHei"/>
        <family val="0"/>
        <charset val="1"/>
      </rPr>
      <t xml:space="preserve">= </t>
    </r>
    <r>
      <rPr>
        <sz val="9"/>
        <color rgb="FF1F2937"/>
        <rFont val="Noto Sans CJK SC"/>
        <family val="2"/>
      </rPr>
      <t xml:space="preserve">持牒上任的新晋社区土地或行业祖神</t>
    </r>
  </si>
  <si>
    <t xml:space="preserve">野生山精疫鬼经高道雷法降伏后编入护法元帅（如赵公明、五通转五显、王灵官）</t>
  </si>
  <si>
    <r>
      <rPr>
        <sz val="9"/>
        <color rgb="FF1F2937"/>
        <rFont val="Noto Sans CJK SC"/>
        <family val="2"/>
      </rPr>
      <t xml:space="preserve">【招安公式】：高危野生数字</t>
    </r>
    <r>
      <rPr>
        <sz val="9"/>
        <color rgb="FF1F2937"/>
        <rFont val="Microsoft YaHei"/>
        <family val="0"/>
        <charset val="1"/>
      </rPr>
      <t xml:space="preserve">/</t>
    </r>
    <r>
      <rPr>
        <sz val="9"/>
        <color rgb="FF1F2937"/>
        <rFont val="Noto Sans CJK SC"/>
        <family val="2"/>
      </rPr>
      <t xml:space="preserve">金融异常 </t>
    </r>
    <r>
      <rPr>
        <sz val="9"/>
        <color rgb="FF1F2937"/>
        <rFont val="Microsoft YaHei"/>
        <family val="0"/>
        <charset val="1"/>
      </rPr>
      <t xml:space="preserve">+ </t>
    </r>
    <r>
      <rPr>
        <sz val="9"/>
        <color rgb="FF1F2937"/>
        <rFont val="Noto Sans CJK SC"/>
        <family val="2"/>
      </rPr>
      <t xml:space="preserve">神霄雷部考召剥离戾气 </t>
    </r>
    <r>
      <rPr>
        <sz val="9"/>
        <color rgb="FF1F2937"/>
        <rFont val="Microsoft YaHei"/>
        <family val="0"/>
        <charset val="1"/>
      </rPr>
      <t xml:space="preserve">= </t>
    </r>
    <r>
      <rPr>
        <sz val="9"/>
        <color rgb="FF1F2937"/>
        <rFont val="Noto Sans CJK SC"/>
        <family val="2"/>
      </rPr>
      <t xml:space="preserve">带薪服役的市政反诈</t>
    </r>
    <r>
      <rPr>
        <sz val="9"/>
        <color rgb="FF1F2937"/>
        <rFont val="Microsoft YaHei"/>
        <family val="0"/>
        <charset val="1"/>
      </rPr>
      <t xml:space="preserve">/</t>
    </r>
    <r>
      <rPr>
        <sz val="9"/>
        <color rgb="FF1F2937"/>
        <rFont val="Noto Sans CJK SC"/>
        <family val="2"/>
      </rPr>
      <t xml:space="preserve">变电站熔断外包节点</t>
    </r>
  </si>
  <si>
    <r>
      <rPr>
        <sz val="9"/>
        <color rgb="FF1F2937"/>
        <rFont val="Noto Sans CJK SC"/>
        <family val="2"/>
      </rPr>
      <t xml:space="preserve">万物积年得气假托人形，知其名呼之即除或可得（如《白泽图》</t>
    </r>
    <r>
      <rPr>
        <sz val="9"/>
        <color rgb="FF1F2937"/>
        <rFont val="Microsoft YaHei"/>
        <family val="0"/>
        <charset val="1"/>
      </rPr>
      <t xml:space="preserve">45.9%</t>
    </r>
    <r>
      <rPr>
        <sz val="9"/>
        <color rgb="FF1F2937"/>
        <rFont val="Noto Sans CJK SC"/>
        <family val="2"/>
      </rPr>
      <t xml:space="preserve">呼名率、</t>
    </r>
    <r>
      <rPr>
        <sz val="9"/>
        <color rgb="FF1F2937"/>
        <rFont val="Microsoft YaHei"/>
        <family val="0"/>
        <charset val="1"/>
      </rPr>
      <t xml:space="preserve">267</t>
    </r>
    <r>
      <rPr>
        <sz val="9"/>
        <color rgb="FF1F2937"/>
        <rFont val="Noto Sans CJK SC"/>
        <family val="2"/>
      </rPr>
      <t xml:space="preserve">身神）</t>
    </r>
  </si>
  <si>
    <r>
      <rPr>
        <sz val="9"/>
        <color rgb="FF1F2937"/>
        <rFont val="Noto Sans CJK SC"/>
        <family val="2"/>
      </rPr>
      <t xml:space="preserve">【祛魅公式】：三年空置建筑</t>
    </r>
    <r>
      <rPr>
        <sz val="9"/>
        <color rgb="FF1F2937"/>
        <rFont val="Microsoft YaHei"/>
        <family val="0"/>
        <charset val="1"/>
      </rPr>
      <t xml:space="preserve">/</t>
    </r>
    <r>
      <rPr>
        <sz val="9"/>
        <color rgb="FF1F2937"/>
        <rFont val="Noto Sans CJK SC"/>
        <family val="2"/>
      </rPr>
      <t xml:space="preserve">过载硬件</t>
    </r>
    <r>
      <rPr>
        <sz val="9"/>
        <color rgb="FF1F2937"/>
        <rFont val="Microsoft YaHei"/>
        <family val="0"/>
        <charset val="1"/>
      </rPr>
      <t xml:space="preserve">/</t>
    </r>
    <r>
      <rPr>
        <sz val="9"/>
        <color rgb="FF1F2937"/>
        <rFont val="Noto Sans CJK SC"/>
        <family val="2"/>
      </rPr>
      <t xml:space="preserve">过劳脏腑积气成精 </t>
    </r>
    <r>
      <rPr>
        <sz val="9"/>
        <color rgb="FF1F2937"/>
        <rFont val="Microsoft YaHei"/>
        <family val="0"/>
        <charset val="1"/>
      </rPr>
      <t xml:space="preserve">+ </t>
    </r>
    <r>
      <rPr>
        <sz val="9"/>
        <color rgb="FF1F2937"/>
        <rFont val="Noto Sans CJK SC"/>
        <family val="2"/>
      </rPr>
      <t xml:space="preserve">检索古籍呼出真名 </t>
    </r>
    <r>
      <rPr>
        <sz val="9"/>
        <color rgb="FF1F2937"/>
        <rFont val="Microsoft YaHei"/>
        <family val="0"/>
        <charset val="1"/>
      </rPr>
      <t xml:space="preserve">= </t>
    </r>
    <r>
      <rPr>
        <sz val="9"/>
        <color rgb="FF1F2937"/>
        <rFont val="Noto Sans CJK SC"/>
        <family val="2"/>
      </rPr>
      <t xml:space="preserve">瞬间降维可控或召回安神</t>
    </r>
  </si>
  <si>
    <t xml:space="preserve">版画翻刻与类书转抄中因字形省讹衍生新兽（如《三才图会》聞𧲂→羲、玄貉→玄獮）</t>
  </si>
  <si>
    <r>
      <rPr>
        <sz val="9"/>
        <color rgb="FF1F2937"/>
        <rFont val="Noto Sans CJK SC"/>
        <family val="2"/>
      </rPr>
      <t xml:space="preserve">【迷因公式】：古籍</t>
    </r>
    <r>
      <rPr>
        <sz val="9"/>
        <color rgb="FF1F2937"/>
        <rFont val="Microsoft YaHei"/>
        <family val="0"/>
        <charset val="1"/>
      </rPr>
      <t xml:space="preserve">OCR</t>
    </r>
    <r>
      <rPr>
        <sz val="9"/>
        <color rgb="FF1F2937"/>
        <rFont val="Noto Sans CJK SC"/>
        <family val="2"/>
      </rPr>
      <t xml:space="preserve">错字</t>
    </r>
    <r>
      <rPr>
        <sz val="9"/>
        <color rgb="FF1F2937"/>
        <rFont val="Microsoft YaHei"/>
        <family val="0"/>
        <charset val="1"/>
      </rPr>
      <t xml:space="preserve">/AI</t>
    </r>
    <r>
      <rPr>
        <sz val="9"/>
        <color rgb="FF1F2937"/>
        <rFont val="Noto Sans CJK SC"/>
        <family val="2"/>
      </rPr>
      <t xml:space="preserve">文生图幻觉 </t>
    </r>
    <r>
      <rPr>
        <sz val="9"/>
        <color rgb="FF1F2937"/>
        <rFont val="Microsoft YaHei"/>
        <family val="0"/>
        <charset val="1"/>
      </rPr>
      <t xml:space="preserve">× </t>
    </r>
    <r>
      <rPr>
        <sz val="9"/>
        <color rgb="FF1F2937"/>
        <rFont val="Noto Sans CJK SC"/>
        <family val="2"/>
      </rPr>
      <t xml:space="preserve">百万网友转发凝视（算力愿力）</t>
    </r>
    <r>
      <rPr>
        <sz val="9"/>
        <color rgb="FF1F2937"/>
        <rFont val="Microsoft YaHei"/>
        <family val="0"/>
        <charset val="1"/>
      </rPr>
      <t xml:space="preserve">= </t>
    </r>
    <r>
      <rPr>
        <sz val="9"/>
        <color rgb="FF1F2937"/>
        <rFont val="Noto Sans CJK SC"/>
        <family val="2"/>
      </rPr>
      <t xml:space="preserve">坍缩孵化的赛博形讹实体（以古籍校勘记消解）</t>
    </r>
  </si>
  <si>
    <t xml:space="preserve">外来神灵经血缘中国化与科层职司化准入万神殿（如哪吒折荷再生、无支祁合流孙悟空）</t>
  </si>
  <si>
    <r>
      <rPr>
        <sz val="9"/>
        <color rgb="FF1F2937"/>
        <rFont val="Noto Sans CJK SC"/>
        <family val="2"/>
      </rPr>
      <t xml:space="preserve">【涵化公式】：跨国前沿科技</t>
    </r>
    <r>
      <rPr>
        <sz val="9"/>
        <color rgb="FF1F2937"/>
        <rFont val="Microsoft YaHei"/>
        <family val="0"/>
        <charset val="1"/>
      </rPr>
      <t xml:space="preserve">/</t>
    </r>
    <r>
      <rPr>
        <sz val="9"/>
        <color rgb="FF1F2937"/>
        <rFont val="Noto Sans CJK SC"/>
        <family val="2"/>
      </rPr>
      <t xml:space="preserve">外来亚文化概念 </t>
    </r>
    <r>
      <rPr>
        <sz val="9"/>
        <color rgb="FF1F2937"/>
        <rFont val="Microsoft YaHei"/>
        <family val="0"/>
        <charset val="1"/>
      </rPr>
      <t xml:space="preserve">+ </t>
    </r>
    <r>
      <rPr>
        <sz val="9"/>
        <color rgb="FF1F2937"/>
        <rFont val="Noto Sans CJK SC"/>
        <family val="2"/>
      </rPr>
      <t xml:space="preserve">本土历史谱系挂靠 </t>
    </r>
    <r>
      <rPr>
        <sz val="9"/>
        <color rgb="FF1F2937"/>
        <rFont val="Microsoft YaHei"/>
        <family val="0"/>
        <charset val="1"/>
      </rPr>
      <t xml:space="preserve">+ </t>
    </r>
    <r>
      <rPr>
        <sz val="9"/>
        <color rgb="FF1F2937"/>
        <rFont val="Noto Sans CJK SC"/>
        <family val="2"/>
      </rPr>
      <t xml:space="preserve">天条紧箍对齐 </t>
    </r>
    <r>
      <rPr>
        <sz val="9"/>
        <color rgb="FF1F2937"/>
        <rFont val="Microsoft YaHei"/>
        <family val="0"/>
        <charset val="1"/>
      </rPr>
      <t xml:space="preserve">= </t>
    </r>
    <r>
      <rPr>
        <sz val="9"/>
        <color rgb="FF1F2937"/>
        <rFont val="Noto Sans CJK SC"/>
        <family val="2"/>
      </rPr>
      <t xml:space="preserve">中国化数字神魔</t>
    </r>
  </si>
  <si>
    <t xml:space="preserve">六大生长机制总计</t>
  </si>
  <si>
    <r>
      <rPr>
        <b val="true"/>
        <sz val="9"/>
        <color rgb="FF1F2937"/>
        <rFont val="Noto Sans CJK SC"/>
        <family val="2"/>
      </rPr>
      <t xml:space="preserve">基于全库 </t>
    </r>
    <r>
      <rPr>
        <b val="true"/>
        <sz val="9"/>
        <color rgb="FF1F2937"/>
        <rFont val="Microsoft YaHei"/>
        <family val="0"/>
        <charset val="1"/>
      </rPr>
      <t xml:space="preserve">5,099 </t>
    </r>
    <r>
      <rPr>
        <b val="true"/>
        <sz val="9"/>
        <color rgb="FF1F2937"/>
        <rFont val="Noto Sans CJK SC"/>
        <family val="2"/>
      </rPr>
      <t xml:space="preserve">条跨表互见链实证提炼</t>
    </r>
  </si>
  <si>
    <t xml:space="preserve">构成动态故事生成引擎的六条核心推演算法</t>
  </si>
</sst>
</file>

<file path=xl/styles.xml><?xml version="1.0" encoding="utf-8"?>
<styleSheet xmlns="http://schemas.openxmlformats.org/spreadsheetml/2006/main">
  <numFmts count="4">
    <numFmt numFmtId="164" formatCode="General"/>
    <numFmt numFmtId="165" formatCode="&quot;MOD-&quot;000"/>
    <numFmt numFmtId="166" formatCode="#,##0"/>
    <numFmt numFmtId="167" formatCode="0.0%"/>
  </numFmts>
  <fonts count="16">
    <font>
      <sz val="11"/>
      <color rgb="FF000000"/>
      <name val="Calibri"/>
      <family val="2"/>
      <charset val="1"/>
    </font>
    <font>
      <sz val="10"/>
      <name val="Arial"/>
      <family val="0"/>
    </font>
    <font>
      <sz val="10"/>
      <name val="Arial"/>
      <family val="0"/>
    </font>
    <font>
      <sz val="10"/>
      <name val="Arial"/>
      <family val="0"/>
    </font>
    <font>
      <b val="true"/>
      <sz val="13"/>
      <color rgb="FFFFFFFF"/>
      <name val="Noto Sans CJK SC"/>
      <family val="2"/>
      <charset val="1"/>
    </font>
    <font>
      <b val="true"/>
      <sz val="10"/>
      <color rgb="FFFFFFFF"/>
      <name val="Noto Sans CJK SC"/>
      <family val="2"/>
      <charset val="1"/>
    </font>
    <font>
      <b val="true"/>
      <sz val="10"/>
      <color rgb="FFFFFFFF"/>
      <name val="Microsoft YaHei"/>
      <family val="0"/>
      <charset val="1"/>
    </font>
    <font>
      <b val="true"/>
      <sz val="10"/>
      <color rgb="FFFFFFFF"/>
      <name val="Noto Sans CJK SC"/>
      <family val="2"/>
    </font>
    <font>
      <b val="true"/>
      <sz val="9"/>
      <color rgb="FF1F2937"/>
      <name val="Microsoft YaHei"/>
      <family val="0"/>
      <charset val="1"/>
    </font>
    <font>
      <b val="true"/>
      <sz val="9"/>
      <color rgb="FF1F2937"/>
      <name val="Noto Sans CJK SC"/>
      <family val="2"/>
      <charset val="1"/>
    </font>
    <font>
      <sz val="9"/>
      <color rgb="FF1F2937"/>
      <name val="Microsoft YaHei"/>
      <family val="0"/>
      <charset val="1"/>
    </font>
    <font>
      <sz val="9"/>
      <color rgb="FF1F2937"/>
      <name val="Noto Sans CJK SC"/>
      <family val="2"/>
    </font>
    <font>
      <sz val="9"/>
      <color rgb="FF1F2937"/>
      <name val="Noto Sans CJK SC"/>
      <family val="2"/>
      <charset val="1"/>
    </font>
    <font>
      <b val="true"/>
      <sz val="13"/>
      <color rgb="FFFFFFFF"/>
      <name val="Microsoft YaHei"/>
      <family val="0"/>
      <charset val="1"/>
    </font>
    <font>
      <b val="true"/>
      <sz val="13"/>
      <color rgb="FFFFFFFF"/>
      <name val="Noto Sans CJK SC"/>
      <family val="2"/>
    </font>
    <font>
      <b val="true"/>
      <sz val="9"/>
      <color rgb="FF1F2937"/>
      <name val="Noto Sans CJK SC"/>
      <family val="2"/>
    </font>
  </fonts>
  <fills count="10">
    <fill>
      <patternFill patternType="none"/>
    </fill>
    <fill>
      <patternFill patternType="gray125"/>
    </fill>
    <fill>
      <patternFill patternType="solid">
        <fgColor rgb="FF0F172A"/>
        <bgColor rgb="FF1F2937"/>
      </patternFill>
    </fill>
    <fill>
      <patternFill patternType="solid">
        <fgColor rgb="FF1E3A8A"/>
        <bgColor rgb="FF003366"/>
      </patternFill>
    </fill>
    <fill>
      <patternFill patternType="solid">
        <fgColor rgb="FFF8FAFC"/>
        <bgColor rgb="FFFFFFFF"/>
      </patternFill>
    </fill>
    <fill>
      <patternFill patternType="solid">
        <fgColor rgb="FFDCFCE7"/>
        <bgColor rgb="FFDBEAFE"/>
      </patternFill>
    </fill>
    <fill>
      <patternFill patternType="solid">
        <fgColor rgb="FFFFFFFF"/>
        <bgColor rgb="FFF8FAFC"/>
      </patternFill>
    </fill>
    <fill>
      <patternFill patternType="solid">
        <fgColor rgb="FFDBEAFE"/>
        <bgColor rgb="FFDCFCE7"/>
      </patternFill>
    </fill>
    <fill>
      <patternFill patternType="solid">
        <fgColor rgb="FFFEF3C7"/>
        <bgColor rgb="FFFEE2E2"/>
      </patternFill>
    </fill>
    <fill>
      <patternFill patternType="solid">
        <fgColor rgb="FFFEE2E2"/>
        <bgColor rgb="FFFEF3C7"/>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5" fontId="8" fillId="4"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5" fontId="8" fillId="6"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9" fillId="7" borderId="1" xfId="0" applyFont="true" applyBorder="true" applyAlignment="true" applyProtection="false">
      <alignment horizontal="general" vertical="bottom" textRotation="0" wrapText="false" indent="0" shrinkToFit="false"/>
      <protection locked="true" hidden="false"/>
    </xf>
    <xf numFmtId="166" fontId="8" fillId="7" borderId="1" xfId="0" applyFont="true" applyBorder="true" applyAlignment="true" applyProtection="false">
      <alignment horizontal="right" vertical="center" textRotation="0" wrapText="false" indent="0" shrinkToFit="false"/>
      <protection locked="true" hidden="false"/>
    </xf>
    <xf numFmtId="167" fontId="8" fillId="7" borderId="1" xfId="0" applyFont="true" applyBorder="true" applyAlignment="true" applyProtection="false">
      <alignment horizontal="right"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6" fontId="10" fillId="4" borderId="1" xfId="0" applyFont="true" applyBorder="true" applyAlignment="true" applyProtection="false">
      <alignment horizontal="right" vertical="center" textRotation="0" wrapText="false" indent="0" shrinkToFit="false"/>
      <protection locked="true" hidden="false"/>
    </xf>
    <xf numFmtId="167" fontId="10" fillId="4" borderId="1" xfId="0" applyFont="true" applyBorder="true" applyAlignment="true" applyProtection="false">
      <alignment horizontal="right" vertical="center" textRotation="0" wrapText="fals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5" fillId="6" borderId="1" xfId="0" applyFont="true" applyBorder="true" applyAlignment="true" applyProtection="false">
      <alignment horizontal="left" vertical="center" textRotation="0" wrapText="true" indent="0" shrinkToFit="false"/>
      <protection locked="true" hidden="false"/>
    </xf>
    <xf numFmtId="166" fontId="10" fillId="6" borderId="1" xfId="0" applyFont="true" applyBorder="true" applyAlignment="true" applyProtection="false">
      <alignment horizontal="right" vertical="center" textRotation="0" wrapText="false" indent="0" shrinkToFit="false"/>
      <protection locked="true" hidden="false"/>
    </xf>
    <xf numFmtId="167" fontId="10" fillId="6" borderId="1" xfId="0" applyFont="true" applyBorder="true" applyAlignment="true" applyProtection="false">
      <alignment horizontal="right" vertical="center" textRotation="0" wrapText="fals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5" fillId="7"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CFCE7"/>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DBEAFE"/>
      <rgbColor rgb="FFF8FAFC"/>
      <rgbColor rgb="FFFFFF99"/>
      <rgbColor rgb="FF99CCFF"/>
      <rgbColor rgb="FFFF99CC"/>
      <rgbColor rgb="FFCC99FF"/>
      <rgbColor rgb="FFFEE2E2"/>
      <rgbColor rgb="FF3366FF"/>
      <rgbColor rgb="FF33CCCC"/>
      <rgbColor rgb="FF99CC00"/>
      <rgbColor rgb="FFFFCC00"/>
      <rgbColor rgb="FFFF9900"/>
      <rgbColor rgb="FFFF6600"/>
      <rgbColor rgb="FF666699"/>
      <rgbColor rgb="FF969696"/>
      <rgbColor rgb="FF003366"/>
      <rgbColor rgb="FF339966"/>
      <rgbColor rgb="FF0F172A"/>
      <rgbColor rgb="FF333300"/>
      <rgbColor rgb="FF993300"/>
      <rgbColor rgb="FF993366"/>
      <rgbColor rgb="FF1E3A8A"/>
      <rgbColor rgb="FF1F2937"/>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02"/>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8"/>
    <col collapsed="false" customWidth="true" hidden="false" outlineLevel="0" max="3" min="3" style="1" width="22"/>
    <col collapsed="false" customWidth="true" hidden="false" outlineLevel="0" max="4" min="4" style="1" width="24"/>
    <col collapsed="false" customWidth="true" hidden="false" outlineLevel="0" max="5" min="5" style="1" width="18"/>
    <col collapsed="false" customWidth="true" hidden="false" outlineLevel="0" max="7" min="6" style="1" width="22"/>
    <col collapsed="false" customWidth="true" hidden="false" outlineLevel="0" max="8" min="8" style="1" width="16"/>
    <col collapsed="false" customWidth="true" hidden="false" outlineLevel="0" max="9" min="9" style="1" width="28"/>
    <col collapsed="false" customWidth="true" hidden="false" outlineLevel="0" max="11" min="10" style="1" width="30"/>
    <col collapsed="false" customWidth="true" hidden="false" outlineLevel="0" max="12" min="12" style="1" width="28"/>
    <col collapsed="false" customWidth="true" hidden="false" outlineLevel="0" max="13" min="13" style="1" width="34"/>
  </cols>
  <sheetData>
    <row r="1" customFormat="false" ht="31.5" hidden="false" customHeight="true" outlineLevel="0" collapsed="false">
      <c r="A1" s="2" t="s">
        <v>0</v>
      </c>
      <c r="B1" s="2"/>
      <c r="C1" s="2"/>
      <c r="D1" s="2"/>
      <c r="E1" s="2"/>
      <c r="F1" s="2"/>
      <c r="G1" s="2"/>
      <c r="H1" s="2"/>
      <c r="I1" s="2"/>
      <c r="J1" s="2"/>
      <c r="K1" s="2"/>
      <c r="L1" s="2"/>
      <c r="M1" s="2"/>
    </row>
    <row r="2" customFormat="false" ht="25.5" hidden="false" customHeight="true" outlineLevel="0" collapsed="false">
      <c r="A2" s="3" t="s">
        <v>1</v>
      </c>
      <c r="B2" s="3" t="s">
        <v>2</v>
      </c>
      <c r="C2" s="3" t="s">
        <v>3</v>
      </c>
      <c r="D2" s="3" t="s">
        <v>4</v>
      </c>
      <c r="E2" s="3" t="s">
        <v>5</v>
      </c>
      <c r="F2" s="3" t="s">
        <v>6</v>
      </c>
      <c r="G2" s="3" t="s">
        <v>7</v>
      </c>
      <c r="H2" s="3" t="s">
        <v>8</v>
      </c>
      <c r="I2" s="3" t="s">
        <v>9</v>
      </c>
      <c r="J2" s="3" t="s">
        <v>10</v>
      </c>
      <c r="K2" s="3" t="s">
        <v>11</v>
      </c>
      <c r="L2" s="4" t="s">
        <v>12</v>
      </c>
      <c r="M2" s="3" t="s">
        <v>13</v>
      </c>
    </row>
    <row r="3" customFormat="false" ht="45.75" hidden="false" customHeight="true" outlineLevel="0" collapsed="false">
      <c r="A3" s="5" t="n">
        <v>1</v>
      </c>
      <c r="B3" s="6" t="s">
        <v>14</v>
      </c>
      <c r="C3" s="7" t="s">
        <v>15</v>
      </c>
      <c r="D3" s="8" t="s">
        <v>16</v>
      </c>
      <c r="E3" s="8" t="s">
        <v>17</v>
      </c>
      <c r="F3" s="8" t="s">
        <v>18</v>
      </c>
      <c r="G3" s="8" t="s">
        <v>19</v>
      </c>
      <c r="H3" s="9" t="s">
        <v>20</v>
      </c>
      <c r="I3" s="8" t="s">
        <v>21</v>
      </c>
      <c r="J3" s="8" t="s">
        <v>22</v>
      </c>
      <c r="K3" s="8" t="s">
        <v>23</v>
      </c>
      <c r="L3" s="7" t="s">
        <v>24</v>
      </c>
      <c r="M3" s="8" t="s">
        <v>25</v>
      </c>
    </row>
    <row r="4" customFormat="false" ht="45.75" hidden="false" customHeight="true" outlineLevel="0" collapsed="false">
      <c r="A4" s="10" t="n">
        <v>2</v>
      </c>
      <c r="B4" s="11" t="s">
        <v>26</v>
      </c>
      <c r="C4" s="12" t="s">
        <v>27</v>
      </c>
      <c r="D4" s="13" t="s">
        <v>28</v>
      </c>
      <c r="E4" s="13" t="s">
        <v>17</v>
      </c>
      <c r="F4" s="13" t="s">
        <v>18</v>
      </c>
      <c r="G4" s="13" t="s">
        <v>19</v>
      </c>
      <c r="H4" s="9" t="s">
        <v>20</v>
      </c>
      <c r="I4" s="13" t="s">
        <v>29</v>
      </c>
      <c r="J4" s="13" t="s">
        <v>30</v>
      </c>
      <c r="K4" s="13" t="s">
        <v>31</v>
      </c>
      <c r="L4" s="13" t="s">
        <v>32</v>
      </c>
      <c r="M4" s="13" t="s">
        <v>33</v>
      </c>
    </row>
    <row r="5" customFormat="false" ht="45.75" hidden="false" customHeight="true" outlineLevel="0" collapsed="false">
      <c r="A5" s="5" t="n">
        <v>3</v>
      </c>
      <c r="B5" s="6" t="s">
        <v>34</v>
      </c>
      <c r="C5" s="7" t="s">
        <v>35</v>
      </c>
      <c r="D5" s="8" t="s">
        <v>16</v>
      </c>
      <c r="E5" s="8" t="s">
        <v>36</v>
      </c>
      <c r="F5" s="8" t="s">
        <v>37</v>
      </c>
      <c r="G5" s="8" t="s">
        <v>19</v>
      </c>
      <c r="H5" s="9" t="s">
        <v>20</v>
      </c>
      <c r="I5" s="8" t="s">
        <v>38</v>
      </c>
      <c r="J5" s="8" t="s">
        <v>39</v>
      </c>
      <c r="K5" s="8" t="s">
        <v>40</v>
      </c>
      <c r="L5" s="8" t="s">
        <v>41</v>
      </c>
      <c r="M5" s="8" t="s">
        <v>42</v>
      </c>
    </row>
    <row r="6" customFormat="false" ht="45.75" hidden="false" customHeight="true" outlineLevel="0" collapsed="false">
      <c r="A6" s="10" t="n">
        <v>4</v>
      </c>
      <c r="B6" s="11" t="s">
        <v>43</v>
      </c>
      <c r="C6" s="12" t="s">
        <v>44</v>
      </c>
      <c r="D6" s="13" t="s">
        <v>16</v>
      </c>
      <c r="E6" s="13" t="s">
        <v>45</v>
      </c>
      <c r="F6" s="13" t="s">
        <v>18</v>
      </c>
      <c r="G6" s="13" t="s">
        <v>19</v>
      </c>
      <c r="H6" s="14" t="s">
        <v>46</v>
      </c>
      <c r="I6" s="13" t="s">
        <v>47</v>
      </c>
      <c r="J6" s="13" t="s">
        <v>48</v>
      </c>
      <c r="K6" s="13" t="s">
        <v>49</v>
      </c>
      <c r="L6" s="13" t="s">
        <v>50</v>
      </c>
      <c r="M6" s="13" t="s">
        <v>51</v>
      </c>
    </row>
    <row r="7" customFormat="false" ht="45.75" hidden="false" customHeight="true" outlineLevel="0" collapsed="false">
      <c r="A7" s="5" t="n">
        <v>5</v>
      </c>
      <c r="B7" s="6" t="s">
        <v>52</v>
      </c>
      <c r="C7" s="7" t="s">
        <v>53</v>
      </c>
      <c r="D7" s="8" t="s">
        <v>16</v>
      </c>
      <c r="E7" s="8" t="s">
        <v>45</v>
      </c>
      <c r="F7" s="8" t="s">
        <v>54</v>
      </c>
      <c r="G7" s="8" t="s">
        <v>19</v>
      </c>
      <c r="H7" s="14" t="s">
        <v>46</v>
      </c>
      <c r="I7" s="8" t="s">
        <v>55</v>
      </c>
      <c r="J7" s="8" t="s">
        <v>56</v>
      </c>
      <c r="K7" s="8" t="s">
        <v>57</v>
      </c>
      <c r="L7" s="8" t="s">
        <v>58</v>
      </c>
      <c r="M7" s="8" t="s">
        <v>59</v>
      </c>
    </row>
    <row r="8" customFormat="false" ht="45.75" hidden="false" customHeight="true" outlineLevel="0" collapsed="false">
      <c r="A8" s="10" t="n">
        <v>6</v>
      </c>
      <c r="B8" s="11" t="s">
        <v>60</v>
      </c>
      <c r="C8" s="12" t="s">
        <v>61</v>
      </c>
      <c r="D8" s="12" t="s">
        <v>62</v>
      </c>
      <c r="E8" s="13" t="s">
        <v>63</v>
      </c>
      <c r="F8" s="13" t="s">
        <v>18</v>
      </c>
      <c r="G8" s="13" t="s">
        <v>19</v>
      </c>
      <c r="H8" s="14" t="s">
        <v>46</v>
      </c>
      <c r="I8" s="13" t="s">
        <v>64</v>
      </c>
      <c r="J8" s="13" t="s">
        <v>65</v>
      </c>
      <c r="K8" s="13" t="s">
        <v>66</v>
      </c>
      <c r="L8" s="13" t="s">
        <v>67</v>
      </c>
      <c r="M8" s="13" t="s">
        <v>68</v>
      </c>
    </row>
    <row r="9" customFormat="false" ht="45.75" hidden="false" customHeight="true" outlineLevel="0" collapsed="false">
      <c r="A9" s="5" t="n">
        <v>7</v>
      </c>
      <c r="B9" s="6" t="s">
        <v>69</v>
      </c>
      <c r="C9" s="7" t="s">
        <v>70</v>
      </c>
      <c r="D9" s="8" t="s">
        <v>16</v>
      </c>
      <c r="E9" s="8" t="s">
        <v>71</v>
      </c>
      <c r="F9" s="8" t="s">
        <v>54</v>
      </c>
      <c r="G9" s="8" t="s">
        <v>19</v>
      </c>
      <c r="H9" s="14" t="s">
        <v>46</v>
      </c>
      <c r="I9" s="8" t="s">
        <v>72</v>
      </c>
      <c r="J9" s="8" t="s">
        <v>73</v>
      </c>
      <c r="K9" s="8" t="s">
        <v>74</v>
      </c>
      <c r="L9" s="8" t="s">
        <v>75</v>
      </c>
      <c r="M9" s="8" t="s">
        <v>76</v>
      </c>
    </row>
    <row r="10" customFormat="false" ht="45.75" hidden="false" customHeight="true" outlineLevel="0" collapsed="false">
      <c r="A10" s="10" t="n">
        <v>8</v>
      </c>
      <c r="B10" s="11" t="s">
        <v>77</v>
      </c>
      <c r="C10" s="12" t="s">
        <v>78</v>
      </c>
      <c r="D10" s="12" t="s">
        <v>79</v>
      </c>
      <c r="E10" s="13" t="s">
        <v>80</v>
      </c>
      <c r="F10" s="13" t="s">
        <v>18</v>
      </c>
      <c r="G10" s="13" t="s">
        <v>19</v>
      </c>
      <c r="H10" s="14" t="s">
        <v>46</v>
      </c>
      <c r="I10" s="13" t="s">
        <v>81</v>
      </c>
      <c r="J10" s="13" t="s">
        <v>82</v>
      </c>
      <c r="K10" s="13" t="s">
        <v>83</v>
      </c>
      <c r="L10" s="13" t="s">
        <v>84</v>
      </c>
      <c r="M10" s="13" t="s">
        <v>85</v>
      </c>
    </row>
    <row r="11" customFormat="false" ht="45.75" hidden="false" customHeight="true" outlineLevel="0" collapsed="false">
      <c r="A11" s="5" t="n">
        <v>9</v>
      </c>
      <c r="B11" s="6" t="s">
        <v>86</v>
      </c>
      <c r="C11" s="7" t="s">
        <v>87</v>
      </c>
      <c r="D11" s="8" t="s">
        <v>16</v>
      </c>
      <c r="E11" s="8" t="s">
        <v>88</v>
      </c>
      <c r="F11" s="8" t="s">
        <v>54</v>
      </c>
      <c r="G11" s="8" t="s">
        <v>19</v>
      </c>
      <c r="H11" s="14" t="s">
        <v>46</v>
      </c>
      <c r="I11" s="8" t="s">
        <v>89</v>
      </c>
      <c r="J11" s="8" t="s">
        <v>90</v>
      </c>
      <c r="K11" s="8" t="s">
        <v>91</v>
      </c>
      <c r="L11" s="7" t="s">
        <v>92</v>
      </c>
      <c r="M11" s="8" t="s">
        <v>93</v>
      </c>
    </row>
    <row r="12" customFormat="false" ht="45.75" hidden="false" customHeight="true" outlineLevel="0" collapsed="false">
      <c r="A12" s="10" t="n">
        <v>10</v>
      </c>
      <c r="B12" s="11" t="s">
        <v>94</v>
      </c>
      <c r="C12" s="12" t="s">
        <v>95</v>
      </c>
      <c r="D12" s="13" t="s">
        <v>16</v>
      </c>
      <c r="E12" s="13" t="s">
        <v>96</v>
      </c>
      <c r="F12" s="13" t="s">
        <v>18</v>
      </c>
      <c r="G12" s="13" t="s">
        <v>19</v>
      </c>
      <c r="H12" s="15" t="s">
        <v>97</v>
      </c>
      <c r="I12" s="13" t="s">
        <v>98</v>
      </c>
      <c r="J12" s="13" t="s">
        <v>99</v>
      </c>
      <c r="K12" s="13" t="s">
        <v>100</v>
      </c>
      <c r="L12" s="13" t="s">
        <v>101</v>
      </c>
      <c r="M12" s="13" t="s">
        <v>102</v>
      </c>
    </row>
    <row r="13" customFormat="false" ht="45.75" hidden="false" customHeight="true" outlineLevel="0" collapsed="false">
      <c r="A13" s="5" t="n">
        <v>11</v>
      </c>
      <c r="B13" s="6" t="s">
        <v>103</v>
      </c>
      <c r="C13" s="7" t="s">
        <v>104</v>
      </c>
      <c r="D13" s="8" t="s">
        <v>16</v>
      </c>
      <c r="E13" s="8" t="s">
        <v>105</v>
      </c>
      <c r="F13" s="8" t="s">
        <v>37</v>
      </c>
      <c r="G13" s="8" t="s">
        <v>19</v>
      </c>
      <c r="H13" s="15" t="s">
        <v>97</v>
      </c>
      <c r="I13" s="8" t="s">
        <v>106</v>
      </c>
      <c r="J13" s="8" t="s">
        <v>107</v>
      </c>
      <c r="K13" s="8" t="s">
        <v>108</v>
      </c>
      <c r="L13" s="8" t="s">
        <v>109</v>
      </c>
      <c r="M13" s="8" t="s">
        <v>110</v>
      </c>
    </row>
    <row r="14" customFormat="false" ht="45.75" hidden="false" customHeight="true" outlineLevel="0" collapsed="false">
      <c r="A14" s="10" t="n">
        <v>12</v>
      </c>
      <c r="B14" s="11" t="s">
        <v>111</v>
      </c>
      <c r="C14" s="12" t="s">
        <v>112</v>
      </c>
      <c r="D14" s="12" t="s">
        <v>113</v>
      </c>
      <c r="E14" s="13" t="s">
        <v>114</v>
      </c>
      <c r="F14" s="13" t="s">
        <v>37</v>
      </c>
      <c r="G14" s="13" t="s">
        <v>19</v>
      </c>
      <c r="H14" s="15" t="s">
        <v>97</v>
      </c>
      <c r="I14" s="13" t="s">
        <v>115</v>
      </c>
      <c r="J14" s="13" t="s">
        <v>116</v>
      </c>
      <c r="K14" s="13" t="s">
        <v>117</v>
      </c>
      <c r="L14" s="12" t="s">
        <v>118</v>
      </c>
      <c r="M14" s="13" t="s">
        <v>119</v>
      </c>
    </row>
    <row r="15" customFormat="false" ht="45.75" hidden="false" customHeight="true" outlineLevel="0" collapsed="false">
      <c r="A15" s="5" t="n">
        <v>13</v>
      </c>
      <c r="B15" s="6" t="s">
        <v>120</v>
      </c>
      <c r="C15" s="7" t="s">
        <v>121</v>
      </c>
      <c r="D15" s="8" t="s">
        <v>16</v>
      </c>
      <c r="E15" s="8" t="s">
        <v>122</v>
      </c>
      <c r="F15" s="8" t="s">
        <v>54</v>
      </c>
      <c r="G15" s="8" t="s">
        <v>19</v>
      </c>
      <c r="H15" s="15" t="s">
        <v>97</v>
      </c>
      <c r="I15" s="8" t="s">
        <v>123</v>
      </c>
      <c r="J15" s="8" t="s">
        <v>124</v>
      </c>
      <c r="K15" s="8" t="s">
        <v>125</v>
      </c>
      <c r="L15" s="8" t="s">
        <v>126</v>
      </c>
      <c r="M15" s="8" t="s">
        <v>127</v>
      </c>
    </row>
    <row r="16" customFormat="false" ht="45.75" hidden="false" customHeight="true" outlineLevel="0" collapsed="false">
      <c r="A16" s="10" t="n">
        <v>14</v>
      </c>
      <c r="B16" s="11" t="s">
        <v>128</v>
      </c>
      <c r="C16" s="12" t="s">
        <v>129</v>
      </c>
      <c r="D16" s="12" t="s">
        <v>130</v>
      </c>
      <c r="E16" s="13" t="s">
        <v>131</v>
      </c>
      <c r="F16" s="13" t="s">
        <v>18</v>
      </c>
      <c r="G16" s="13" t="s">
        <v>19</v>
      </c>
      <c r="H16" s="15" t="s">
        <v>97</v>
      </c>
      <c r="I16" s="13" t="s">
        <v>132</v>
      </c>
      <c r="J16" s="13" t="s">
        <v>133</v>
      </c>
      <c r="K16" s="13" t="s">
        <v>134</v>
      </c>
      <c r="L16" s="13" t="s">
        <v>135</v>
      </c>
      <c r="M16" s="13" t="s">
        <v>136</v>
      </c>
    </row>
    <row r="17" customFormat="false" ht="45.75" hidden="false" customHeight="true" outlineLevel="0" collapsed="false">
      <c r="A17" s="5" t="n">
        <v>15</v>
      </c>
      <c r="B17" s="6" t="s">
        <v>137</v>
      </c>
      <c r="C17" s="7" t="s">
        <v>138</v>
      </c>
      <c r="D17" s="8" t="s">
        <v>16</v>
      </c>
      <c r="E17" s="8" t="s">
        <v>139</v>
      </c>
      <c r="F17" s="8" t="s">
        <v>18</v>
      </c>
      <c r="G17" s="8" t="s">
        <v>140</v>
      </c>
      <c r="H17" s="15" t="s">
        <v>97</v>
      </c>
      <c r="I17" s="8" t="s">
        <v>141</v>
      </c>
      <c r="J17" s="8" t="s">
        <v>142</v>
      </c>
      <c r="K17" s="8" t="s">
        <v>143</v>
      </c>
      <c r="L17" s="8" t="s">
        <v>144</v>
      </c>
      <c r="M17" s="8" t="s">
        <v>145</v>
      </c>
    </row>
    <row r="18" customFormat="false" ht="45.75" hidden="false" customHeight="true" outlineLevel="0" collapsed="false">
      <c r="A18" s="10" t="n">
        <v>16</v>
      </c>
      <c r="B18" s="11" t="s">
        <v>146</v>
      </c>
      <c r="C18" s="12" t="s">
        <v>147</v>
      </c>
      <c r="D18" s="12" t="s">
        <v>148</v>
      </c>
      <c r="E18" s="13" t="s">
        <v>139</v>
      </c>
      <c r="F18" s="13" t="s">
        <v>18</v>
      </c>
      <c r="G18" s="13" t="s">
        <v>149</v>
      </c>
      <c r="H18" s="15" t="s">
        <v>97</v>
      </c>
      <c r="I18" s="13" t="s">
        <v>150</v>
      </c>
      <c r="J18" s="13" t="s">
        <v>151</v>
      </c>
      <c r="K18" s="13" t="s">
        <v>152</v>
      </c>
      <c r="L18" s="13" t="s">
        <v>153</v>
      </c>
      <c r="M18" s="13" t="s">
        <v>154</v>
      </c>
    </row>
    <row r="19" customFormat="false" ht="45.75" hidden="false" customHeight="true" outlineLevel="0" collapsed="false">
      <c r="A19" s="5" t="n">
        <v>17</v>
      </c>
      <c r="B19" s="6" t="s">
        <v>155</v>
      </c>
      <c r="C19" s="7" t="s">
        <v>156</v>
      </c>
      <c r="D19" s="8" t="s">
        <v>16</v>
      </c>
      <c r="E19" s="8" t="s">
        <v>157</v>
      </c>
      <c r="F19" s="8" t="s">
        <v>18</v>
      </c>
      <c r="G19" s="8" t="s">
        <v>149</v>
      </c>
      <c r="H19" s="15" t="s">
        <v>97</v>
      </c>
      <c r="I19" s="8" t="s">
        <v>158</v>
      </c>
      <c r="J19" s="8" t="s">
        <v>159</v>
      </c>
      <c r="K19" s="8" t="s">
        <v>160</v>
      </c>
      <c r="L19" s="8" t="s">
        <v>161</v>
      </c>
      <c r="M19" s="8" t="s">
        <v>162</v>
      </c>
    </row>
    <row r="20" customFormat="false" ht="45.75" hidden="false" customHeight="true" outlineLevel="0" collapsed="false">
      <c r="A20" s="10" t="n">
        <v>18</v>
      </c>
      <c r="B20" s="11" t="s">
        <v>163</v>
      </c>
      <c r="C20" s="12" t="s">
        <v>164</v>
      </c>
      <c r="D20" s="12" t="s">
        <v>165</v>
      </c>
      <c r="E20" s="13" t="s">
        <v>166</v>
      </c>
      <c r="F20" s="13" t="s">
        <v>167</v>
      </c>
      <c r="G20" s="13" t="s">
        <v>168</v>
      </c>
      <c r="H20" s="16" t="s">
        <v>169</v>
      </c>
      <c r="I20" s="13" t="s">
        <v>170</v>
      </c>
      <c r="J20" s="13" t="s">
        <v>171</v>
      </c>
      <c r="K20" s="13" t="s">
        <v>172</v>
      </c>
      <c r="L20" s="13" t="s">
        <v>173</v>
      </c>
      <c r="M20" s="13" t="s">
        <v>174</v>
      </c>
    </row>
    <row r="21" customFormat="false" ht="45.75" hidden="false" customHeight="true" outlineLevel="0" collapsed="false">
      <c r="A21" s="5" t="n">
        <v>19</v>
      </c>
      <c r="B21" s="6" t="s">
        <v>175</v>
      </c>
      <c r="C21" s="7" t="s">
        <v>176</v>
      </c>
      <c r="D21" s="8" t="s">
        <v>16</v>
      </c>
      <c r="E21" s="8" t="s">
        <v>157</v>
      </c>
      <c r="F21" s="8" t="s">
        <v>167</v>
      </c>
      <c r="G21" s="8" t="s">
        <v>168</v>
      </c>
      <c r="H21" s="16" t="s">
        <v>169</v>
      </c>
      <c r="I21" s="8" t="s">
        <v>177</v>
      </c>
      <c r="J21" s="8" t="s">
        <v>178</v>
      </c>
      <c r="K21" s="8" t="s">
        <v>179</v>
      </c>
      <c r="L21" s="8" t="s">
        <v>180</v>
      </c>
      <c r="M21" s="8" t="s">
        <v>181</v>
      </c>
    </row>
    <row r="22" customFormat="false" ht="45.75" hidden="false" customHeight="true" outlineLevel="0" collapsed="false">
      <c r="A22" s="10" t="n">
        <v>20</v>
      </c>
      <c r="B22" s="11" t="s">
        <v>182</v>
      </c>
      <c r="C22" s="12" t="s">
        <v>183</v>
      </c>
      <c r="D22" s="12" t="s">
        <v>184</v>
      </c>
      <c r="E22" s="13" t="s">
        <v>185</v>
      </c>
      <c r="F22" s="13" t="s">
        <v>186</v>
      </c>
      <c r="G22" s="13" t="s">
        <v>168</v>
      </c>
      <c r="H22" s="16" t="s">
        <v>169</v>
      </c>
      <c r="I22" s="13" t="s">
        <v>187</v>
      </c>
      <c r="J22" s="13" t="s">
        <v>188</v>
      </c>
      <c r="K22" s="13" t="s">
        <v>189</v>
      </c>
      <c r="L22" s="13" t="s">
        <v>190</v>
      </c>
      <c r="M22" s="13" t="s">
        <v>191</v>
      </c>
    </row>
    <row r="23" customFormat="false" ht="45.75" hidden="false" customHeight="true" outlineLevel="0" collapsed="false">
      <c r="A23" s="5" t="n">
        <v>21</v>
      </c>
      <c r="B23" s="6" t="s">
        <v>192</v>
      </c>
      <c r="C23" s="7" t="s">
        <v>193</v>
      </c>
      <c r="D23" s="8" t="s">
        <v>16</v>
      </c>
      <c r="E23" s="8" t="s">
        <v>194</v>
      </c>
      <c r="F23" s="8" t="s">
        <v>18</v>
      </c>
      <c r="G23" s="8" t="s">
        <v>195</v>
      </c>
      <c r="H23" s="15" t="s">
        <v>97</v>
      </c>
      <c r="I23" s="8" t="s">
        <v>196</v>
      </c>
      <c r="J23" s="8" t="s">
        <v>197</v>
      </c>
      <c r="K23" s="8" t="s">
        <v>198</v>
      </c>
      <c r="L23" s="8" t="s">
        <v>199</v>
      </c>
      <c r="M23" s="8" t="s">
        <v>200</v>
      </c>
    </row>
    <row r="24" customFormat="false" ht="45.75" hidden="false" customHeight="true" outlineLevel="0" collapsed="false">
      <c r="A24" s="10" t="n">
        <v>22</v>
      </c>
      <c r="B24" s="11" t="s">
        <v>201</v>
      </c>
      <c r="C24" s="12" t="s">
        <v>202</v>
      </c>
      <c r="D24" s="12" t="s">
        <v>203</v>
      </c>
      <c r="E24" s="13" t="s">
        <v>185</v>
      </c>
      <c r="F24" s="13" t="s">
        <v>186</v>
      </c>
      <c r="G24" s="13" t="s">
        <v>195</v>
      </c>
      <c r="H24" s="16" t="s">
        <v>169</v>
      </c>
      <c r="I24" s="13" t="s">
        <v>204</v>
      </c>
      <c r="J24" s="13" t="s">
        <v>205</v>
      </c>
      <c r="K24" s="13" t="s">
        <v>206</v>
      </c>
      <c r="L24" s="13" t="s">
        <v>207</v>
      </c>
      <c r="M24" s="13" t="s">
        <v>208</v>
      </c>
    </row>
    <row r="25" customFormat="false" ht="45.75" hidden="false" customHeight="true" outlineLevel="0" collapsed="false">
      <c r="A25" s="5" t="n">
        <v>23</v>
      </c>
      <c r="B25" s="6" t="s">
        <v>209</v>
      </c>
      <c r="C25" s="7" t="s">
        <v>210</v>
      </c>
      <c r="D25" s="8" t="s">
        <v>16</v>
      </c>
      <c r="E25" s="8" t="s">
        <v>211</v>
      </c>
      <c r="F25" s="8" t="s">
        <v>18</v>
      </c>
      <c r="G25" s="8" t="s">
        <v>140</v>
      </c>
      <c r="H25" s="16" t="s">
        <v>169</v>
      </c>
      <c r="I25" s="8" t="s">
        <v>212</v>
      </c>
      <c r="J25" s="8" t="s">
        <v>213</v>
      </c>
      <c r="K25" s="8" t="s">
        <v>214</v>
      </c>
      <c r="L25" s="8" t="s">
        <v>215</v>
      </c>
      <c r="M25" s="8" t="s">
        <v>216</v>
      </c>
    </row>
    <row r="26" customFormat="false" ht="45.75" hidden="false" customHeight="true" outlineLevel="0" collapsed="false">
      <c r="A26" s="10" t="n">
        <v>24</v>
      </c>
      <c r="B26" s="11" t="s">
        <v>217</v>
      </c>
      <c r="C26" s="12" t="s">
        <v>218</v>
      </c>
      <c r="D26" s="13" t="s">
        <v>16</v>
      </c>
      <c r="E26" s="13" t="s">
        <v>219</v>
      </c>
      <c r="F26" s="13" t="s">
        <v>18</v>
      </c>
      <c r="G26" s="13" t="s">
        <v>140</v>
      </c>
      <c r="H26" s="16" t="s">
        <v>169</v>
      </c>
      <c r="I26" s="13" t="s">
        <v>220</v>
      </c>
      <c r="J26" s="13" t="s">
        <v>221</v>
      </c>
      <c r="K26" s="13" t="s">
        <v>222</v>
      </c>
      <c r="L26" s="13" t="s">
        <v>223</v>
      </c>
      <c r="M26" s="13" t="s">
        <v>224</v>
      </c>
    </row>
    <row r="27" customFormat="false" ht="45.75" hidden="false" customHeight="true" outlineLevel="0" collapsed="false">
      <c r="A27" s="5" t="n">
        <v>25</v>
      </c>
      <c r="B27" s="6" t="s">
        <v>225</v>
      </c>
      <c r="C27" s="7" t="s">
        <v>226</v>
      </c>
      <c r="D27" s="8" t="s">
        <v>16</v>
      </c>
      <c r="E27" s="8" t="s">
        <v>227</v>
      </c>
      <c r="F27" s="8" t="s">
        <v>228</v>
      </c>
      <c r="G27" s="8" t="s">
        <v>149</v>
      </c>
      <c r="H27" s="9" t="s">
        <v>20</v>
      </c>
      <c r="I27" s="8" t="s">
        <v>229</v>
      </c>
      <c r="J27" s="8" t="s">
        <v>230</v>
      </c>
      <c r="K27" s="8" t="s">
        <v>231</v>
      </c>
      <c r="L27" s="8" t="s">
        <v>232</v>
      </c>
      <c r="M27" s="8" t="s">
        <v>233</v>
      </c>
    </row>
    <row r="28" customFormat="false" ht="45.75" hidden="false" customHeight="true" outlineLevel="0" collapsed="false">
      <c r="A28" s="10" t="n">
        <v>26</v>
      </c>
      <c r="B28" s="11" t="s">
        <v>234</v>
      </c>
      <c r="C28" s="12" t="s">
        <v>235</v>
      </c>
      <c r="D28" s="12" t="s">
        <v>236</v>
      </c>
      <c r="E28" s="13" t="s">
        <v>96</v>
      </c>
      <c r="F28" s="13" t="s">
        <v>18</v>
      </c>
      <c r="G28" s="13" t="s">
        <v>237</v>
      </c>
      <c r="H28" s="15" t="s">
        <v>97</v>
      </c>
      <c r="I28" s="13" t="s">
        <v>238</v>
      </c>
      <c r="J28" s="13" t="s">
        <v>239</v>
      </c>
      <c r="K28" s="13" t="s">
        <v>240</v>
      </c>
      <c r="L28" s="12" t="s">
        <v>241</v>
      </c>
      <c r="M28" s="13" t="s">
        <v>242</v>
      </c>
    </row>
    <row r="29" customFormat="false" ht="45.75" hidden="false" customHeight="true" outlineLevel="0" collapsed="false">
      <c r="A29" s="5" t="n">
        <v>27</v>
      </c>
      <c r="B29" s="6" t="s">
        <v>243</v>
      </c>
      <c r="C29" s="7" t="s">
        <v>244</v>
      </c>
      <c r="D29" s="8" t="s">
        <v>16</v>
      </c>
      <c r="E29" s="8" t="s">
        <v>227</v>
      </c>
      <c r="F29" s="8" t="s">
        <v>18</v>
      </c>
      <c r="G29" s="8" t="s">
        <v>19</v>
      </c>
      <c r="H29" s="9" t="s">
        <v>20</v>
      </c>
      <c r="I29" s="8" t="s">
        <v>245</v>
      </c>
      <c r="J29" s="8" t="s">
        <v>246</v>
      </c>
      <c r="K29" s="8" t="s">
        <v>247</v>
      </c>
      <c r="L29" s="8" t="s">
        <v>248</v>
      </c>
      <c r="M29" s="8" t="s">
        <v>249</v>
      </c>
    </row>
    <row r="30" customFormat="false" ht="45.75" hidden="false" customHeight="true" outlineLevel="0" collapsed="false">
      <c r="A30" s="10" t="n">
        <v>28</v>
      </c>
      <c r="B30" s="11" t="s">
        <v>250</v>
      </c>
      <c r="C30" s="12" t="s">
        <v>251</v>
      </c>
      <c r="D30" s="13" t="s">
        <v>16</v>
      </c>
      <c r="E30" s="13" t="s">
        <v>17</v>
      </c>
      <c r="F30" s="13" t="s">
        <v>54</v>
      </c>
      <c r="G30" s="13" t="s">
        <v>19</v>
      </c>
      <c r="H30" s="16" t="s">
        <v>169</v>
      </c>
      <c r="I30" s="13" t="s">
        <v>252</v>
      </c>
      <c r="J30" s="13" t="s">
        <v>253</v>
      </c>
      <c r="K30" s="13" t="s">
        <v>254</v>
      </c>
      <c r="L30" s="13" t="s">
        <v>255</v>
      </c>
      <c r="M30" s="13" t="s">
        <v>256</v>
      </c>
    </row>
    <row r="31" customFormat="false" ht="45.75" hidden="false" customHeight="true" outlineLevel="0" collapsed="false">
      <c r="A31" s="5" t="n">
        <v>29</v>
      </c>
      <c r="B31" s="6" t="s">
        <v>257</v>
      </c>
      <c r="C31" s="7" t="s">
        <v>258</v>
      </c>
      <c r="D31" s="8" t="s">
        <v>16</v>
      </c>
      <c r="E31" s="8" t="s">
        <v>259</v>
      </c>
      <c r="F31" s="8" t="s">
        <v>18</v>
      </c>
      <c r="G31" s="8" t="s">
        <v>149</v>
      </c>
      <c r="H31" s="15" t="s">
        <v>97</v>
      </c>
      <c r="I31" s="8" t="s">
        <v>260</v>
      </c>
      <c r="J31" s="8" t="s">
        <v>261</v>
      </c>
      <c r="K31" s="8" t="s">
        <v>262</v>
      </c>
      <c r="L31" s="8" t="s">
        <v>263</v>
      </c>
      <c r="M31" s="8" t="s">
        <v>264</v>
      </c>
    </row>
    <row r="32" customFormat="false" ht="45.75" hidden="false" customHeight="true" outlineLevel="0" collapsed="false">
      <c r="A32" s="10" t="n">
        <v>30</v>
      </c>
      <c r="B32" s="11" t="s">
        <v>265</v>
      </c>
      <c r="C32" s="12" t="s">
        <v>266</v>
      </c>
      <c r="D32" s="12" t="s">
        <v>267</v>
      </c>
      <c r="E32" s="13" t="s">
        <v>268</v>
      </c>
      <c r="F32" s="13" t="s">
        <v>167</v>
      </c>
      <c r="G32" s="13" t="s">
        <v>195</v>
      </c>
      <c r="H32" s="15" t="s">
        <v>97</v>
      </c>
      <c r="I32" s="13" t="s">
        <v>269</v>
      </c>
      <c r="J32" s="13" t="s">
        <v>270</v>
      </c>
      <c r="K32" s="13" t="s">
        <v>271</v>
      </c>
      <c r="L32" s="13" t="s">
        <v>272</v>
      </c>
      <c r="M32" s="13" t="s">
        <v>273</v>
      </c>
    </row>
    <row r="33" customFormat="false" ht="45.75" hidden="false" customHeight="true" outlineLevel="0" collapsed="false">
      <c r="A33" s="5" t="n">
        <v>31</v>
      </c>
      <c r="B33" s="6" t="s">
        <v>274</v>
      </c>
      <c r="C33" s="7" t="s">
        <v>275</v>
      </c>
      <c r="D33" s="8" t="s">
        <v>276</v>
      </c>
      <c r="E33" s="8" t="s">
        <v>277</v>
      </c>
      <c r="F33" s="8" t="s">
        <v>18</v>
      </c>
      <c r="G33" s="8" t="s">
        <v>19</v>
      </c>
      <c r="H33" s="9" t="s">
        <v>20</v>
      </c>
      <c r="I33" s="8" t="s">
        <v>278</v>
      </c>
      <c r="J33" s="8" t="s">
        <v>279</v>
      </c>
      <c r="K33" s="8" t="s">
        <v>280</v>
      </c>
      <c r="L33" s="8" t="s">
        <v>281</v>
      </c>
      <c r="M33" s="8" t="s">
        <v>282</v>
      </c>
    </row>
    <row r="34" customFormat="false" ht="45.75" hidden="false" customHeight="true" outlineLevel="0" collapsed="false">
      <c r="A34" s="10" t="n">
        <v>32</v>
      </c>
      <c r="B34" s="11" t="s">
        <v>283</v>
      </c>
      <c r="C34" s="12" t="s">
        <v>284</v>
      </c>
      <c r="D34" s="13" t="s">
        <v>285</v>
      </c>
      <c r="E34" s="13" t="s">
        <v>277</v>
      </c>
      <c r="F34" s="13" t="s">
        <v>167</v>
      </c>
      <c r="G34" s="13" t="s">
        <v>195</v>
      </c>
      <c r="H34" s="15" t="s">
        <v>97</v>
      </c>
      <c r="I34" s="13" t="s">
        <v>286</v>
      </c>
      <c r="J34" s="13" t="s">
        <v>287</v>
      </c>
      <c r="K34" s="13" t="s">
        <v>288</v>
      </c>
      <c r="L34" s="13" t="s">
        <v>289</v>
      </c>
      <c r="M34" s="13" t="s">
        <v>290</v>
      </c>
    </row>
    <row r="35" customFormat="false" ht="45.75" hidden="false" customHeight="true" outlineLevel="0" collapsed="false">
      <c r="A35" s="5" t="n">
        <v>33</v>
      </c>
      <c r="B35" s="6" t="s">
        <v>291</v>
      </c>
      <c r="C35" s="7" t="s">
        <v>292</v>
      </c>
      <c r="D35" s="8" t="s">
        <v>293</v>
      </c>
      <c r="E35" s="8" t="s">
        <v>294</v>
      </c>
      <c r="F35" s="8" t="s">
        <v>18</v>
      </c>
      <c r="G35" s="8" t="s">
        <v>149</v>
      </c>
      <c r="H35" s="9" t="s">
        <v>20</v>
      </c>
      <c r="I35" s="8" t="s">
        <v>295</v>
      </c>
      <c r="J35" s="8" t="s">
        <v>296</v>
      </c>
      <c r="K35" s="8" t="s">
        <v>297</v>
      </c>
      <c r="L35" s="8" t="s">
        <v>298</v>
      </c>
      <c r="M35" s="8" t="s">
        <v>299</v>
      </c>
    </row>
    <row r="36" customFormat="false" ht="45.75" hidden="false" customHeight="true" outlineLevel="0" collapsed="false">
      <c r="A36" s="10" t="n">
        <v>34</v>
      </c>
      <c r="B36" s="11" t="s">
        <v>300</v>
      </c>
      <c r="C36" s="12" t="s">
        <v>301</v>
      </c>
      <c r="D36" s="12" t="s">
        <v>302</v>
      </c>
      <c r="E36" s="13" t="s">
        <v>294</v>
      </c>
      <c r="F36" s="13" t="s">
        <v>18</v>
      </c>
      <c r="G36" s="13" t="s">
        <v>19</v>
      </c>
      <c r="H36" s="14" t="s">
        <v>46</v>
      </c>
      <c r="I36" s="13" t="s">
        <v>303</v>
      </c>
      <c r="J36" s="13" t="s">
        <v>304</v>
      </c>
      <c r="K36" s="13" t="s">
        <v>305</v>
      </c>
      <c r="L36" s="13" t="s">
        <v>306</v>
      </c>
      <c r="M36" s="13" t="s">
        <v>307</v>
      </c>
    </row>
    <row r="37" customFormat="false" ht="45.75" hidden="false" customHeight="true" outlineLevel="0" collapsed="false">
      <c r="A37" s="5" t="n">
        <v>35</v>
      </c>
      <c r="B37" s="6" t="s">
        <v>308</v>
      </c>
      <c r="C37" s="7" t="s">
        <v>309</v>
      </c>
      <c r="D37" s="8" t="s">
        <v>310</v>
      </c>
      <c r="E37" s="8" t="s">
        <v>294</v>
      </c>
      <c r="F37" s="8" t="s">
        <v>228</v>
      </c>
      <c r="G37" s="8" t="s">
        <v>195</v>
      </c>
      <c r="H37" s="9" t="s">
        <v>20</v>
      </c>
      <c r="I37" s="8" t="s">
        <v>311</v>
      </c>
      <c r="J37" s="8" t="s">
        <v>312</v>
      </c>
      <c r="K37" s="8" t="s">
        <v>313</v>
      </c>
      <c r="L37" s="8" t="s">
        <v>314</v>
      </c>
      <c r="M37" s="8" t="s">
        <v>315</v>
      </c>
    </row>
    <row r="38" customFormat="false" ht="45.75" hidden="false" customHeight="true" outlineLevel="0" collapsed="false">
      <c r="A38" s="10" t="n">
        <v>36</v>
      </c>
      <c r="B38" s="11" t="s">
        <v>316</v>
      </c>
      <c r="C38" s="12" t="s">
        <v>317</v>
      </c>
      <c r="D38" s="13" t="s">
        <v>318</v>
      </c>
      <c r="E38" s="13" t="s">
        <v>319</v>
      </c>
      <c r="F38" s="13" t="s">
        <v>186</v>
      </c>
      <c r="G38" s="13" t="s">
        <v>195</v>
      </c>
      <c r="H38" s="15" t="s">
        <v>97</v>
      </c>
      <c r="I38" s="13" t="s">
        <v>320</v>
      </c>
      <c r="J38" s="13" t="s">
        <v>321</v>
      </c>
      <c r="K38" s="13" t="s">
        <v>322</v>
      </c>
      <c r="L38" s="13" t="s">
        <v>323</v>
      </c>
      <c r="M38" s="13" t="s">
        <v>324</v>
      </c>
    </row>
    <row r="39" customFormat="false" ht="45.75" hidden="false" customHeight="true" outlineLevel="0" collapsed="false">
      <c r="A39" s="5" t="n">
        <v>37</v>
      </c>
      <c r="B39" s="6" t="s">
        <v>325</v>
      </c>
      <c r="C39" s="7" t="s">
        <v>326</v>
      </c>
      <c r="D39" s="8" t="s">
        <v>327</v>
      </c>
      <c r="E39" s="8" t="s">
        <v>328</v>
      </c>
      <c r="F39" s="8" t="s">
        <v>54</v>
      </c>
      <c r="G39" s="8" t="s">
        <v>195</v>
      </c>
      <c r="H39" s="9" t="s">
        <v>20</v>
      </c>
      <c r="I39" s="8" t="s">
        <v>329</v>
      </c>
      <c r="J39" s="8" t="s">
        <v>330</v>
      </c>
      <c r="K39" s="8" t="s">
        <v>331</v>
      </c>
      <c r="L39" s="8" t="s">
        <v>332</v>
      </c>
      <c r="M39" s="8" t="s">
        <v>333</v>
      </c>
    </row>
    <row r="40" customFormat="false" ht="45.75" hidden="false" customHeight="true" outlineLevel="0" collapsed="false">
      <c r="A40" s="10" t="n">
        <v>38</v>
      </c>
      <c r="B40" s="11" t="s">
        <v>334</v>
      </c>
      <c r="C40" s="12" t="s">
        <v>335</v>
      </c>
      <c r="D40" s="13" t="s">
        <v>336</v>
      </c>
      <c r="E40" s="13" t="s">
        <v>337</v>
      </c>
      <c r="F40" s="13" t="s">
        <v>186</v>
      </c>
      <c r="G40" s="13" t="s">
        <v>195</v>
      </c>
      <c r="H40" s="16" t="s">
        <v>169</v>
      </c>
      <c r="I40" s="13" t="s">
        <v>338</v>
      </c>
      <c r="J40" s="13" t="s">
        <v>339</v>
      </c>
      <c r="K40" s="13" t="s">
        <v>340</v>
      </c>
      <c r="L40" s="13" t="s">
        <v>341</v>
      </c>
      <c r="M40" s="13" t="s">
        <v>342</v>
      </c>
    </row>
    <row r="41" customFormat="false" ht="45.75" hidden="false" customHeight="true" outlineLevel="0" collapsed="false">
      <c r="A41" s="5" t="n">
        <v>39</v>
      </c>
      <c r="B41" s="6" t="s">
        <v>343</v>
      </c>
      <c r="C41" s="7" t="s">
        <v>344</v>
      </c>
      <c r="D41" s="8" t="s">
        <v>345</v>
      </c>
      <c r="E41" s="8" t="s">
        <v>346</v>
      </c>
      <c r="F41" s="8" t="s">
        <v>228</v>
      </c>
      <c r="G41" s="8" t="s">
        <v>149</v>
      </c>
      <c r="H41" s="16" t="s">
        <v>169</v>
      </c>
      <c r="I41" s="8" t="s">
        <v>347</v>
      </c>
      <c r="J41" s="8" t="s">
        <v>348</v>
      </c>
      <c r="K41" s="8" t="s">
        <v>349</v>
      </c>
      <c r="L41" s="8" t="s">
        <v>350</v>
      </c>
      <c r="M41" s="8" t="s">
        <v>351</v>
      </c>
    </row>
    <row r="42" customFormat="false" ht="45.75" hidden="false" customHeight="true" outlineLevel="0" collapsed="false">
      <c r="A42" s="10" t="n">
        <v>40</v>
      </c>
      <c r="B42" s="11" t="s">
        <v>352</v>
      </c>
      <c r="C42" s="12" t="s">
        <v>353</v>
      </c>
      <c r="D42" s="13" t="s">
        <v>354</v>
      </c>
      <c r="E42" s="13" t="s">
        <v>355</v>
      </c>
      <c r="F42" s="13" t="s">
        <v>18</v>
      </c>
      <c r="G42" s="13" t="s">
        <v>149</v>
      </c>
      <c r="H42" s="9" t="s">
        <v>20</v>
      </c>
      <c r="I42" s="13" t="s">
        <v>356</v>
      </c>
      <c r="J42" s="13" t="s">
        <v>357</v>
      </c>
      <c r="K42" s="13" t="s">
        <v>358</v>
      </c>
      <c r="L42" s="13" t="s">
        <v>359</v>
      </c>
      <c r="M42" s="13" t="s">
        <v>360</v>
      </c>
    </row>
    <row r="43" customFormat="false" ht="45.75" hidden="false" customHeight="true" outlineLevel="0" collapsed="false">
      <c r="A43" s="5" t="n">
        <v>41</v>
      </c>
      <c r="B43" s="6" t="s">
        <v>361</v>
      </c>
      <c r="C43" s="7" t="s">
        <v>362</v>
      </c>
      <c r="D43" s="8" t="s">
        <v>345</v>
      </c>
      <c r="E43" s="8" t="s">
        <v>346</v>
      </c>
      <c r="F43" s="8" t="s">
        <v>18</v>
      </c>
      <c r="G43" s="8" t="s">
        <v>168</v>
      </c>
      <c r="H43" s="16" t="s">
        <v>169</v>
      </c>
      <c r="I43" s="8" t="s">
        <v>363</v>
      </c>
      <c r="J43" s="8" t="s">
        <v>364</v>
      </c>
      <c r="K43" s="8" t="s">
        <v>365</v>
      </c>
      <c r="L43" s="8" t="s">
        <v>366</v>
      </c>
      <c r="M43" s="8" t="s">
        <v>367</v>
      </c>
    </row>
    <row r="44" customFormat="false" ht="45.75" hidden="false" customHeight="true" outlineLevel="0" collapsed="false">
      <c r="A44" s="10" t="n">
        <v>42</v>
      </c>
      <c r="B44" s="11" t="s">
        <v>368</v>
      </c>
      <c r="C44" s="12" t="s">
        <v>369</v>
      </c>
      <c r="D44" s="13" t="s">
        <v>370</v>
      </c>
      <c r="E44" s="13" t="s">
        <v>337</v>
      </c>
      <c r="F44" s="13" t="s">
        <v>18</v>
      </c>
      <c r="G44" s="13" t="s">
        <v>195</v>
      </c>
      <c r="H44" s="15" t="s">
        <v>97</v>
      </c>
      <c r="I44" s="13" t="s">
        <v>371</v>
      </c>
      <c r="J44" s="13" t="s">
        <v>372</v>
      </c>
      <c r="K44" s="13" t="s">
        <v>373</v>
      </c>
      <c r="L44" s="13" t="s">
        <v>374</v>
      </c>
      <c r="M44" s="13" t="s">
        <v>375</v>
      </c>
    </row>
    <row r="45" customFormat="false" ht="45.75" hidden="false" customHeight="true" outlineLevel="0" collapsed="false">
      <c r="A45" s="5" t="n">
        <v>43</v>
      </c>
      <c r="B45" s="6" t="s">
        <v>376</v>
      </c>
      <c r="C45" s="7" t="s">
        <v>377</v>
      </c>
      <c r="D45" s="8" t="s">
        <v>345</v>
      </c>
      <c r="E45" s="8" t="s">
        <v>346</v>
      </c>
      <c r="F45" s="8" t="s">
        <v>186</v>
      </c>
      <c r="G45" s="8" t="s">
        <v>195</v>
      </c>
      <c r="H45" s="9" t="s">
        <v>20</v>
      </c>
      <c r="I45" s="8" t="s">
        <v>378</v>
      </c>
      <c r="J45" s="8" t="s">
        <v>379</v>
      </c>
      <c r="K45" s="8" t="s">
        <v>380</v>
      </c>
      <c r="L45" s="8" t="s">
        <v>381</v>
      </c>
      <c r="M45" s="8" t="s">
        <v>382</v>
      </c>
    </row>
    <row r="46" customFormat="false" ht="45.75" hidden="false" customHeight="true" outlineLevel="0" collapsed="false">
      <c r="A46" s="10" t="n">
        <v>44</v>
      </c>
      <c r="B46" s="11" t="s">
        <v>383</v>
      </c>
      <c r="C46" s="12" t="s">
        <v>384</v>
      </c>
      <c r="D46" s="13" t="s">
        <v>345</v>
      </c>
      <c r="E46" s="13" t="s">
        <v>355</v>
      </c>
      <c r="F46" s="13" t="s">
        <v>186</v>
      </c>
      <c r="G46" s="13" t="s">
        <v>195</v>
      </c>
      <c r="H46" s="15" t="s">
        <v>97</v>
      </c>
      <c r="I46" s="13" t="s">
        <v>385</v>
      </c>
      <c r="J46" s="13" t="s">
        <v>386</v>
      </c>
      <c r="K46" s="13" t="s">
        <v>387</v>
      </c>
      <c r="L46" s="13" t="s">
        <v>388</v>
      </c>
      <c r="M46" s="13" t="s">
        <v>389</v>
      </c>
    </row>
    <row r="47" customFormat="false" ht="45.75" hidden="false" customHeight="true" outlineLevel="0" collapsed="false">
      <c r="A47" s="5" t="n">
        <v>45</v>
      </c>
      <c r="B47" s="6" t="s">
        <v>390</v>
      </c>
      <c r="C47" s="7" t="s">
        <v>391</v>
      </c>
      <c r="D47" s="8" t="s">
        <v>392</v>
      </c>
      <c r="E47" s="8" t="s">
        <v>277</v>
      </c>
      <c r="F47" s="8" t="s">
        <v>167</v>
      </c>
      <c r="G47" s="8" t="s">
        <v>168</v>
      </c>
      <c r="H47" s="16" t="s">
        <v>169</v>
      </c>
      <c r="I47" s="8" t="s">
        <v>393</v>
      </c>
      <c r="J47" s="8" t="s">
        <v>394</v>
      </c>
      <c r="K47" s="8" t="s">
        <v>395</v>
      </c>
      <c r="L47" s="8" t="s">
        <v>396</v>
      </c>
      <c r="M47" s="8" t="s">
        <v>397</v>
      </c>
    </row>
    <row r="48" customFormat="false" ht="45.75" hidden="false" customHeight="true" outlineLevel="0" collapsed="false">
      <c r="A48" s="10" t="n">
        <v>46</v>
      </c>
      <c r="B48" s="11" t="s">
        <v>398</v>
      </c>
      <c r="C48" s="12" t="s">
        <v>399</v>
      </c>
      <c r="D48" s="13" t="s">
        <v>400</v>
      </c>
      <c r="E48" s="13" t="s">
        <v>401</v>
      </c>
      <c r="F48" s="13" t="s">
        <v>167</v>
      </c>
      <c r="G48" s="13" t="s">
        <v>168</v>
      </c>
      <c r="H48" s="16" t="s">
        <v>169</v>
      </c>
      <c r="I48" s="13" t="s">
        <v>402</v>
      </c>
      <c r="J48" s="13" t="s">
        <v>403</v>
      </c>
      <c r="K48" s="13" t="s">
        <v>404</v>
      </c>
      <c r="L48" s="13" t="s">
        <v>405</v>
      </c>
      <c r="M48" s="13" t="s">
        <v>406</v>
      </c>
    </row>
    <row r="49" customFormat="false" ht="45.75" hidden="false" customHeight="true" outlineLevel="0" collapsed="false">
      <c r="A49" s="5" t="n">
        <v>47</v>
      </c>
      <c r="B49" s="6" t="s">
        <v>407</v>
      </c>
      <c r="C49" s="7" t="s">
        <v>408</v>
      </c>
      <c r="D49" s="7" t="s">
        <v>409</v>
      </c>
      <c r="E49" s="8" t="s">
        <v>277</v>
      </c>
      <c r="F49" s="8" t="s">
        <v>18</v>
      </c>
      <c r="G49" s="8" t="s">
        <v>19</v>
      </c>
      <c r="H49" s="14" t="s">
        <v>46</v>
      </c>
      <c r="I49" s="8" t="s">
        <v>410</v>
      </c>
      <c r="J49" s="8" t="s">
        <v>411</v>
      </c>
      <c r="K49" s="8" t="s">
        <v>412</v>
      </c>
      <c r="L49" s="8" t="s">
        <v>413</v>
      </c>
      <c r="M49" s="8" t="s">
        <v>414</v>
      </c>
    </row>
    <row r="50" customFormat="false" ht="45.75" hidden="false" customHeight="true" outlineLevel="0" collapsed="false">
      <c r="A50" s="10" t="n">
        <v>48</v>
      </c>
      <c r="B50" s="11" t="s">
        <v>415</v>
      </c>
      <c r="C50" s="12" t="s">
        <v>416</v>
      </c>
      <c r="D50" s="12" t="s">
        <v>417</v>
      </c>
      <c r="E50" s="13" t="s">
        <v>418</v>
      </c>
      <c r="F50" s="13" t="s">
        <v>18</v>
      </c>
      <c r="G50" s="13" t="s">
        <v>195</v>
      </c>
      <c r="H50" s="16" t="s">
        <v>169</v>
      </c>
      <c r="I50" s="13" t="s">
        <v>419</v>
      </c>
      <c r="J50" s="13" t="s">
        <v>420</v>
      </c>
      <c r="K50" s="13" t="s">
        <v>421</v>
      </c>
      <c r="L50" s="13" t="s">
        <v>422</v>
      </c>
      <c r="M50" s="13" t="s">
        <v>423</v>
      </c>
    </row>
    <row r="51" customFormat="false" ht="45.75" hidden="false" customHeight="true" outlineLevel="0" collapsed="false">
      <c r="A51" s="5" t="n">
        <v>49</v>
      </c>
      <c r="B51" s="6" t="s">
        <v>424</v>
      </c>
      <c r="C51" s="7" t="s">
        <v>425</v>
      </c>
      <c r="D51" s="8" t="s">
        <v>426</v>
      </c>
      <c r="E51" s="8" t="s">
        <v>427</v>
      </c>
      <c r="F51" s="8" t="s">
        <v>228</v>
      </c>
      <c r="G51" s="8" t="s">
        <v>237</v>
      </c>
      <c r="H51" s="15" t="s">
        <v>97</v>
      </c>
      <c r="I51" s="8" t="s">
        <v>428</v>
      </c>
      <c r="J51" s="8" t="s">
        <v>429</v>
      </c>
      <c r="K51" s="8" t="s">
        <v>430</v>
      </c>
      <c r="L51" s="8" t="s">
        <v>431</v>
      </c>
      <c r="M51" s="8" t="s">
        <v>432</v>
      </c>
    </row>
    <row r="52" customFormat="false" ht="45.75" hidden="false" customHeight="true" outlineLevel="0" collapsed="false">
      <c r="A52" s="10" t="n">
        <v>50</v>
      </c>
      <c r="B52" s="11" t="s">
        <v>433</v>
      </c>
      <c r="C52" s="12" t="s">
        <v>434</v>
      </c>
      <c r="D52" s="12" t="s">
        <v>435</v>
      </c>
      <c r="E52" s="13" t="s">
        <v>436</v>
      </c>
      <c r="F52" s="13" t="s">
        <v>37</v>
      </c>
      <c r="G52" s="13" t="s">
        <v>149</v>
      </c>
      <c r="H52" s="9" t="s">
        <v>20</v>
      </c>
      <c r="I52" s="13" t="s">
        <v>437</v>
      </c>
      <c r="J52" s="13" t="s">
        <v>438</v>
      </c>
      <c r="K52" s="13" t="s">
        <v>439</v>
      </c>
      <c r="L52" s="13" t="s">
        <v>440</v>
      </c>
      <c r="M52" s="13" t="s">
        <v>441</v>
      </c>
    </row>
    <row r="53" customFormat="false" ht="45.75" hidden="false" customHeight="true" outlineLevel="0" collapsed="false">
      <c r="A53" s="5" t="n">
        <v>51</v>
      </c>
      <c r="B53" s="6" t="s">
        <v>442</v>
      </c>
      <c r="C53" s="7" t="s">
        <v>443</v>
      </c>
      <c r="D53" s="8" t="s">
        <v>444</v>
      </c>
      <c r="E53" s="8" t="s">
        <v>445</v>
      </c>
      <c r="F53" s="8" t="s">
        <v>186</v>
      </c>
      <c r="G53" s="8" t="s">
        <v>195</v>
      </c>
      <c r="H53" s="9" t="s">
        <v>20</v>
      </c>
      <c r="I53" s="8" t="s">
        <v>446</v>
      </c>
      <c r="J53" s="8" t="s">
        <v>447</v>
      </c>
      <c r="K53" s="8" t="s">
        <v>448</v>
      </c>
      <c r="L53" s="8" t="s">
        <v>449</v>
      </c>
      <c r="M53" s="8" t="s">
        <v>450</v>
      </c>
    </row>
    <row r="54" customFormat="false" ht="45.75" hidden="false" customHeight="true" outlineLevel="0" collapsed="false">
      <c r="A54" s="10" t="n">
        <v>52</v>
      </c>
      <c r="B54" s="11" t="s">
        <v>451</v>
      </c>
      <c r="C54" s="12" t="s">
        <v>452</v>
      </c>
      <c r="D54" s="13" t="s">
        <v>426</v>
      </c>
      <c r="E54" s="13" t="s">
        <v>427</v>
      </c>
      <c r="F54" s="13" t="s">
        <v>37</v>
      </c>
      <c r="G54" s="13" t="s">
        <v>195</v>
      </c>
      <c r="H54" s="15" t="s">
        <v>97</v>
      </c>
      <c r="I54" s="13" t="s">
        <v>453</v>
      </c>
      <c r="J54" s="13" t="s">
        <v>454</v>
      </c>
      <c r="K54" s="13" t="s">
        <v>455</v>
      </c>
      <c r="L54" s="13" t="s">
        <v>456</v>
      </c>
      <c r="M54" s="13" t="s">
        <v>457</v>
      </c>
    </row>
    <row r="55" customFormat="false" ht="45.75" hidden="false" customHeight="true" outlineLevel="0" collapsed="false">
      <c r="A55" s="5" t="n">
        <v>53</v>
      </c>
      <c r="B55" s="6" t="s">
        <v>458</v>
      </c>
      <c r="C55" s="7" t="s">
        <v>459</v>
      </c>
      <c r="D55" s="8" t="s">
        <v>460</v>
      </c>
      <c r="E55" s="8" t="s">
        <v>461</v>
      </c>
      <c r="F55" s="8" t="s">
        <v>18</v>
      </c>
      <c r="G55" s="8" t="s">
        <v>195</v>
      </c>
      <c r="H55" s="15" t="s">
        <v>97</v>
      </c>
      <c r="I55" s="8" t="s">
        <v>462</v>
      </c>
      <c r="J55" s="8" t="s">
        <v>463</v>
      </c>
      <c r="K55" s="8" t="s">
        <v>464</v>
      </c>
      <c r="L55" s="8" t="s">
        <v>465</v>
      </c>
      <c r="M55" s="8" t="s">
        <v>466</v>
      </c>
    </row>
    <row r="56" customFormat="false" ht="45.75" hidden="false" customHeight="true" outlineLevel="0" collapsed="false">
      <c r="A56" s="10" t="n">
        <v>54</v>
      </c>
      <c r="B56" s="11" t="s">
        <v>467</v>
      </c>
      <c r="C56" s="12" t="s">
        <v>468</v>
      </c>
      <c r="D56" s="12" t="s">
        <v>469</v>
      </c>
      <c r="E56" s="13" t="s">
        <v>470</v>
      </c>
      <c r="F56" s="13" t="s">
        <v>18</v>
      </c>
      <c r="G56" s="13" t="s">
        <v>149</v>
      </c>
      <c r="H56" s="15" t="s">
        <v>97</v>
      </c>
      <c r="I56" s="13" t="s">
        <v>471</v>
      </c>
      <c r="J56" s="13" t="s">
        <v>472</v>
      </c>
      <c r="K56" s="13" t="s">
        <v>473</v>
      </c>
      <c r="L56" s="13" t="s">
        <v>474</v>
      </c>
      <c r="M56" s="13" t="s">
        <v>475</v>
      </c>
    </row>
    <row r="57" customFormat="false" ht="45.75" hidden="false" customHeight="true" outlineLevel="0" collapsed="false">
      <c r="A57" s="5" t="n">
        <v>55</v>
      </c>
      <c r="B57" s="6" t="s">
        <v>476</v>
      </c>
      <c r="C57" s="7" t="s">
        <v>477</v>
      </c>
      <c r="D57" s="8" t="s">
        <v>426</v>
      </c>
      <c r="E57" s="8" t="s">
        <v>427</v>
      </c>
      <c r="F57" s="8" t="s">
        <v>18</v>
      </c>
      <c r="G57" s="8" t="s">
        <v>195</v>
      </c>
      <c r="H57" s="9" t="s">
        <v>20</v>
      </c>
      <c r="I57" s="8" t="s">
        <v>478</v>
      </c>
      <c r="J57" s="8" t="s">
        <v>479</v>
      </c>
      <c r="K57" s="8" t="s">
        <v>480</v>
      </c>
      <c r="L57" s="8" t="s">
        <v>481</v>
      </c>
      <c r="M57" s="8" t="s">
        <v>482</v>
      </c>
    </row>
    <row r="58" customFormat="false" ht="45.75" hidden="false" customHeight="true" outlineLevel="0" collapsed="false">
      <c r="A58" s="10" t="n">
        <v>56</v>
      </c>
      <c r="B58" s="11" t="s">
        <v>483</v>
      </c>
      <c r="C58" s="12" t="s">
        <v>484</v>
      </c>
      <c r="D58" s="13" t="s">
        <v>426</v>
      </c>
      <c r="E58" s="13" t="s">
        <v>427</v>
      </c>
      <c r="F58" s="13" t="s">
        <v>228</v>
      </c>
      <c r="G58" s="13" t="s">
        <v>149</v>
      </c>
      <c r="H58" s="9" t="s">
        <v>20</v>
      </c>
      <c r="I58" s="13" t="s">
        <v>485</v>
      </c>
      <c r="J58" s="13" t="s">
        <v>486</v>
      </c>
      <c r="K58" s="13" t="s">
        <v>487</v>
      </c>
      <c r="L58" s="13" t="s">
        <v>488</v>
      </c>
      <c r="M58" s="13" t="s">
        <v>489</v>
      </c>
    </row>
    <row r="59" customFormat="false" ht="45.75" hidden="false" customHeight="true" outlineLevel="0" collapsed="false">
      <c r="A59" s="5" t="n">
        <v>57</v>
      </c>
      <c r="B59" s="6" t="s">
        <v>490</v>
      </c>
      <c r="C59" s="7" t="s">
        <v>491</v>
      </c>
      <c r="D59" s="8" t="s">
        <v>492</v>
      </c>
      <c r="E59" s="8" t="s">
        <v>493</v>
      </c>
      <c r="F59" s="8" t="s">
        <v>54</v>
      </c>
      <c r="G59" s="8" t="s">
        <v>149</v>
      </c>
      <c r="H59" s="16" t="s">
        <v>169</v>
      </c>
      <c r="I59" s="8" t="s">
        <v>494</v>
      </c>
      <c r="J59" s="8" t="s">
        <v>495</v>
      </c>
      <c r="K59" s="8" t="s">
        <v>496</v>
      </c>
      <c r="L59" s="8" t="s">
        <v>497</v>
      </c>
      <c r="M59" s="8" t="s">
        <v>498</v>
      </c>
    </row>
    <row r="60" customFormat="false" ht="45.75" hidden="false" customHeight="true" outlineLevel="0" collapsed="false">
      <c r="A60" s="10" t="n">
        <v>58</v>
      </c>
      <c r="B60" s="11" t="s">
        <v>499</v>
      </c>
      <c r="C60" s="12" t="s">
        <v>500</v>
      </c>
      <c r="D60" s="13" t="s">
        <v>426</v>
      </c>
      <c r="E60" s="13" t="s">
        <v>427</v>
      </c>
      <c r="F60" s="13" t="s">
        <v>186</v>
      </c>
      <c r="G60" s="13" t="s">
        <v>19</v>
      </c>
      <c r="H60" s="16" t="s">
        <v>169</v>
      </c>
      <c r="I60" s="13" t="s">
        <v>501</v>
      </c>
      <c r="J60" s="13" t="s">
        <v>502</v>
      </c>
      <c r="K60" s="13" t="s">
        <v>503</v>
      </c>
      <c r="L60" s="13" t="s">
        <v>504</v>
      </c>
      <c r="M60" s="13" t="s">
        <v>505</v>
      </c>
    </row>
    <row r="61" customFormat="false" ht="45.75" hidden="false" customHeight="true" outlineLevel="0" collapsed="false">
      <c r="A61" s="5" t="n">
        <v>59</v>
      </c>
      <c r="B61" s="6" t="s">
        <v>506</v>
      </c>
      <c r="C61" s="7" t="s">
        <v>507</v>
      </c>
      <c r="D61" s="7" t="s">
        <v>508</v>
      </c>
      <c r="E61" s="8" t="s">
        <v>509</v>
      </c>
      <c r="F61" s="8" t="s">
        <v>228</v>
      </c>
      <c r="G61" s="8" t="s">
        <v>149</v>
      </c>
      <c r="H61" s="15" t="s">
        <v>97</v>
      </c>
      <c r="I61" s="8" t="s">
        <v>510</v>
      </c>
      <c r="J61" s="8" t="s">
        <v>511</v>
      </c>
      <c r="K61" s="8" t="s">
        <v>512</v>
      </c>
      <c r="L61" s="8" t="s">
        <v>513</v>
      </c>
      <c r="M61" s="8" t="s">
        <v>514</v>
      </c>
    </row>
    <row r="62" customFormat="false" ht="45.75" hidden="false" customHeight="true" outlineLevel="0" collapsed="false">
      <c r="A62" s="10" t="n">
        <v>60</v>
      </c>
      <c r="B62" s="11" t="s">
        <v>515</v>
      </c>
      <c r="C62" s="12" t="s">
        <v>516</v>
      </c>
      <c r="D62" s="12" t="s">
        <v>517</v>
      </c>
      <c r="E62" s="13" t="s">
        <v>518</v>
      </c>
      <c r="F62" s="13" t="s">
        <v>228</v>
      </c>
      <c r="G62" s="13" t="s">
        <v>149</v>
      </c>
      <c r="H62" s="15" t="s">
        <v>97</v>
      </c>
      <c r="I62" s="13" t="s">
        <v>519</v>
      </c>
      <c r="J62" s="13" t="s">
        <v>520</v>
      </c>
      <c r="K62" s="13" t="s">
        <v>521</v>
      </c>
      <c r="L62" s="13" t="s">
        <v>522</v>
      </c>
      <c r="M62" s="13" t="s">
        <v>523</v>
      </c>
    </row>
    <row r="63" customFormat="false" ht="45.75" hidden="false" customHeight="true" outlineLevel="0" collapsed="false">
      <c r="A63" s="5" t="n">
        <v>61</v>
      </c>
      <c r="B63" s="6" t="s">
        <v>524</v>
      </c>
      <c r="C63" s="7" t="s">
        <v>525</v>
      </c>
      <c r="D63" s="7" t="s">
        <v>526</v>
      </c>
      <c r="E63" s="8" t="s">
        <v>527</v>
      </c>
      <c r="F63" s="8" t="s">
        <v>167</v>
      </c>
      <c r="G63" s="8" t="s">
        <v>19</v>
      </c>
      <c r="H63" s="9" t="s">
        <v>20</v>
      </c>
      <c r="I63" s="8" t="s">
        <v>528</v>
      </c>
      <c r="J63" s="8" t="s">
        <v>529</v>
      </c>
      <c r="K63" s="8" t="s">
        <v>530</v>
      </c>
      <c r="L63" s="8" t="s">
        <v>531</v>
      </c>
      <c r="M63" s="8" t="s">
        <v>532</v>
      </c>
    </row>
    <row r="64" customFormat="false" ht="45.75" hidden="false" customHeight="true" outlineLevel="0" collapsed="false">
      <c r="A64" s="10" t="n">
        <v>62</v>
      </c>
      <c r="B64" s="11" t="s">
        <v>533</v>
      </c>
      <c r="C64" s="12" t="s">
        <v>534</v>
      </c>
      <c r="D64" s="12" t="s">
        <v>535</v>
      </c>
      <c r="E64" s="13" t="s">
        <v>536</v>
      </c>
      <c r="F64" s="13" t="s">
        <v>37</v>
      </c>
      <c r="G64" s="13" t="s">
        <v>19</v>
      </c>
      <c r="H64" s="14" t="s">
        <v>46</v>
      </c>
      <c r="I64" s="13" t="s">
        <v>537</v>
      </c>
      <c r="J64" s="13" t="s">
        <v>538</v>
      </c>
      <c r="K64" s="13" t="s">
        <v>539</v>
      </c>
      <c r="L64" s="13" t="s">
        <v>540</v>
      </c>
      <c r="M64" s="13" t="s">
        <v>541</v>
      </c>
    </row>
    <row r="65" customFormat="false" ht="45.75" hidden="false" customHeight="true" outlineLevel="0" collapsed="false">
      <c r="A65" s="5" t="n">
        <v>63</v>
      </c>
      <c r="B65" s="6" t="s">
        <v>542</v>
      </c>
      <c r="C65" s="7" t="s">
        <v>543</v>
      </c>
      <c r="D65" s="7" t="s">
        <v>544</v>
      </c>
      <c r="E65" s="8" t="s">
        <v>545</v>
      </c>
      <c r="F65" s="8" t="s">
        <v>54</v>
      </c>
      <c r="G65" s="8" t="s">
        <v>19</v>
      </c>
      <c r="H65" s="14" t="s">
        <v>46</v>
      </c>
      <c r="I65" s="8" t="s">
        <v>546</v>
      </c>
      <c r="J65" s="8" t="s">
        <v>547</v>
      </c>
      <c r="K65" s="8" t="s">
        <v>548</v>
      </c>
      <c r="L65" s="8" t="s">
        <v>549</v>
      </c>
      <c r="M65" s="8" t="s">
        <v>550</v>
      </c>
    </row>
    <row r="66" customFormat="false" ht="45.75" hidden="false" customHeight="true" outlineLevel="0" collapsed="false">
      <c r="A66" s="10" t="n">
        <v>64</v>
      </c>
      <c r="B66" s="11" t="s">
        <v>551</v>
      </c>
      <c r="C66" s="12" t="s">
        <v>552</v>
      </c>
      <c r="D66" s="12" t="s">
        <v>553</v>
      </c>
      <c r="E66" s="13" t="s">
        <v>554</v>
      </c>
      <c r="F66" s="13" t="s">
        <v>228</v>
      </c>
      <c r="G66" s="13" t="s">
        <v>149</v>
      </c>
      <c r="H66" s="15" t="s">
        <v>97</v>
      </c>
      <c r="I66" s="13" t="s">
        <v>555</v>
      </c>
      <c r="J66" s="13" t="s">
        <v>556</v>
      </c>
      <c r="K66" s="13" t="s">
        <v>557</v>
      </c>
      <c r="L66" s="13" t="s">
        <v>558</v>
      </c>
      <c r="M66" s="13" t="s">
        <v>559</v>
      </c>
    </row>
    <row r="67" customFormat="false" ht="45.75" hidden="false" customHeight="true" outlineLevel="0" collapsed="false">
      <c r="A67" s="5" t="n">
        <v>65</v>
      </c>
      <c r="B67" s="6" t="s">
        <v>560</v>
      </c>
      <c r="C67" s="7" t="s">
        <v>561</v>
      </c>
      <c r="D67" s="7" t="s">
        <v>562</v>
      </c>
      <c r="E67" s="8" t="s">
        <v>563</v>
      </c>
      <c r="F67" s="8" t="s">
        <v>186</v>
      </c>
      <c r="G67" s="8" t="s">
        <v>149</v>
      </c>
      <c r="H67" s="16" t="s">
        <v>169</v>
      </c>
      <c r="I67" s="8" t="s">
        <v>564</v>
      </c>
      <c r="J67" s="8" t="s">
        <v>565</v>
      </c>
      <c r="K67" s="8" t="s">
        <v>566</v>
      </c>
      <c r="L67" s="8" t="s">
        <v>567</v>
      </c>
      <c r="M67" s="8" t="s">
        <v>568</v>
      </c>
    </row>
    <row r="68" customFormat="false" ht="45.75" hidden="false" customHeight="true" outlineLevel="0" collapsed="false">
      <c r="A68" s="10" t="n">
        <v>66</v>
      </c>
      <c r="B68" s="11" t="s">
        <v>569</v>
      </c>
      <c r="C68" s="12" t="s">
        <v>570</v>
      </c>
      <c r="D68" s="13" t="s">
        <v>426</v>
      </c>
      <c r="E68" s="13" t="s">
        <v>427</v>
      </c>
      <c r="F68" s="13" t="s">
        <v>228</v>
      </c>
      <c r="G68" s="13" t="s">
        <v>149</v>
      </c>
      <c r="H68" s="15" t="s">
        <v>97</v>
      </c>
      <c r="I68" s="13" t="s">
        <v>571</v>
      </c>
      <c r="J68" s="13" t="s">
        <v>572</v>
      </c>
      <c r="K68" s="13" t="s">
        <v>573</v>
      </c>
      <c r="L68" s="13" t="s">
        <v>574</v>
      </c>
      <c r="M68" s="13" t="s">
        <v>575</v>
      </c>
    </row>
    <row r="69" customFormat="false" ht="45.75" hidden="false" customHeight="true" outlineLevel="0" collapsed="false">
      <c r="A69" s="5" t="n">
        <v>67</v>
      </c>
      <c r="B69" s="6" t="s">
        <v>576</v>
      </c>
      <c r="C69" s="7" t="s">
        <v>577</v>
      </c>
      <c r="D69" s="8" t="s">
        <v>426</v>
      </c>
      <c r="E69" s="8" t="s">
        <v>427</v>
      </c>
      <c r="F69" s="8" t="s">
        <v>228</v>
      </c>
      <c r="G69" s="8" t="s">
        <v>195</v>
      </c>
      <c r="H69" s="15" t="s">
        <v>97</v>
      </c>
      <c r="I69" s="8" t="s">
        <v>578</v>
      </c>
      <c r="J69" s="8" t="s">
        <v>579</v>
      </c>
      <c r="K69" s="8" t="s">
        <v>580</v>
      </c>
      <c r="L69" s="8" t="s">
        <v>581</v>
      </c>
      <c r="M69" s="8" t="s">
        <v>582</v>
      </c>
    </row>
    <row r="70" customFormat="false" ht="45.75" hidden="false" customHeight="true" outlineLevel="0" collapsed="false">
      <c r="A70" s="10" t="n">
        <v>68</v>
      </c>
      <c r="B70" s="11" t="s">
        <v>583</v>
      </c>
      <c r="C70" s="12" t="s">
        <v>584</v>
      </c>
      <c r="D70" s="12" t="s">
        <v>585</v>
      </c>
      <c r="E70" s="13" t="s">
        <v>586</v>
      </c>
      <c r="F70" s="13" t="s">
        <v>18</v>
      </c>
      <c r="G70" s="13" t="s">
        <v>149</v>
      </c>
      <c r="H70" s="15" t="s">
        <v>97</v>
      </c>
      <c r="I70" s="13" t="s">
        <v>587</v>
      </c>
      <c r="J70" s="13" t="s">
        <v>588</v>
      </c>
      <c r="K70" s="13" t="s">
        <v>589</v>
      </c>
      <c r="L70" s="13" t="s">
        <v>590</v>
      </c>
      <c r="M70" s="13" t="s">
        <v>591</v>
      </c>
    </row>
    <row r="71" customFormat="false" ht="45.75" hidden="false" customHeight="true" outlineLevel="0" collapsed="false">
      <c r="A71" s="5" t="n">
        <v>69</v>
      </c>
      <c r="B71" s="6" t="s">
        <v>592</v>
      </c>
      <c r="C71" s="7" t="s">
        <v>593</v>
      </c>
      <c r="D71" s="8" t="s">
        <v>426</v>
      </c>
      <c r="E71" s="8" t="s">
        <v>427</v>
      </c>
      <c r="F71" s="8" t="s">
        <v>167</v>
      </c>
      <c r="G71" s="8" t="s">
        <v>19</v>
      </c>
      <c r="H71" s="16" t="s">
        <v>169</v>
      </c>
      <c r="I71" s="8" t="s">
        <v>594</v>
      </c>
      <c r="J71" s="8" t="s">
        <v>595</v>
      </c>
      <c r="K71" s="8" t="s">
        <v>596</v>
      </c>
      <c r="L71" s="8" t="s">
        <v>597</v>
      </c>
      <c r="M71" s="8" t="s">
        <v>598</v>
      </c>
    </row>
    <row r="72" customFormat="false" ht="45.75" hidden="false" customHeight="true" outlineLevel="0" collapsed="false">
      <c r="A72" s="10" t="n">
        <v>70</v>
      </c>
      <c r="B72" s="11" t="s">
        <v>599</v>
      </c>
      <c r="C72" s="12" t="s">
        <v>600</v>
      </c>
      <c r="D72" s="13" t="s">
        <v>426</v>
      </c>
      <c r="E72" s="13" t="s">
        <v>427</v>
      </c>
      <c r="F72" s="13" t="s">
        <v>186</v>
      </c>
      <c r="G72" s="13" t="s">
        <v>149</v>
      </c>
      <c r="H72" s="15" t="s">
        <v>97</v>
      </c>
      <c r="I72" s="13" t="s">
        <v>601</v>
      </c>
      <c r="J72" s="13" t="s">
        <v>602</v>
      </c>
      <c r="K72" s="13" t="s">
        <v>603</v>
      </c>
      <c r="L72" s="13" t="s">
        <v>604</v>
      </c>
      <c r="M72" s="13" t="s">
        <v>605</v>
      </c>
    </row>
    <row r="73" customFormat="false" ht="45.75" hidden="false" customHeight="true" outlineLevel="0" collapsed="false">
      <c r="A73" s="5" t="n">
        <v>71</v>
      </c>
      <c r="B73" s="6" t="s">
        <v>606</v>
      </c>
      <c r="C73" s="7" t="s">
        <v>607</v>
      </c>
      <c r="D73" s="8" t="s">
        <v>426</v>
      </c>
      <c r="E73" s="8" t="s">
        <v>427</v>
      </c>
      <c r="F73" s="8" t="s">
        <v>228</v>
      </c>
      <c r="G73" s="8" t="s">
        <v>140</v>
      </c>
      <c r="H73" s="9" t="s">
        <v>20</v>
      </c>
      <c r="I73" s="8" t="s">
        <v>608</v>
      </c>
      <c r="J73" s="8" t="s">
        <v>609</v>
      </c>
      <c r="K73" s="8" t="s">
        <v>610</v>
      </c>
      <c r="L73" s="8" t="s">
        <v>611</v>
      </c>
      <c r="M73" s="8" t="s">
        <v>612</v>
      </c>
    </row>
    <row r="74" customFormat="false" ht="45.75" hidden="false" customHeight="true" outlineLevel="0" collapsed="false">
      <c r="A74" s="10" t="n">
        <v>72</v>
      </c>
      <c r="B74" s="11" t="s">
        <v>613</v>
      </c>
      <c r="C74" s="12" t="s">
        <v>614</v>
      </c>
      <c r="D74" s="13" t="s">
        <v>426</v>
      </c>
      <c r="E74" s="13" t="s">
        <v>427</v>
      </c>
      <c r="F74" s="13" t="s">
        <v>37</v>
      </c>
      <c r="G74" s="13" t="s">
        <v>19</v>
      </c>
      <c r="H74" s="14" t="s">
        <v>46</v>
      </c>
      <c r="I74" s="13" t="s">
        <v>615</v>
      </c>
      <c r="J74" s="13" t="s">
        <v>616</v>
      </c>
      <c r="K74" s="13" t="s">
        <v>617</v>
      </c>
      <c r="L74" s="13" t="s">
        <v>618</v>
      </c>
      <c r="M74" s="13" t="s">
        <v>619</v>
      </c>
    </row>
    <row r="75" customFormat="false" ht="45.75" hidden="false" customHeight="true" outlineLevel="0" collapsed="false">
      <c r="A75" s="5" t="n">
        <v>73</v>
      </c>
      <c r="B75" s="6" t="s">
        <v>620</v>
      </c>
      <c r="C75" s="7" t="s">
        <v>621</v>
      </c>
      <c r="D75" s="8" t="s">
        <v>426</v>
      </c>
      <c r="E75" s="8" t="s">
        <v>427</v>
      </c>
      <c r="F75" s="8" t="s">
        <v>18</v>
      </c>
      <c r="G75" s="8" t="s">
        <v>149</v>
      </c>
      <c r="H75" s="9" t="s">
        <v>20</v>
      </c>
      <c r="I75" s="8" t="s">
        <v>622</v>
      </c>
      <c r="J75" s="8" t="s">
        <v>623</v>
      </c>
      <c r="K75" s="8" t="s">
        <v>624</v>
      </c>
      <c r="L75" s="8" t="s">
        <v>625</v>
      </c>
      <c r="M75" s="8" t="s">
        <v>626</v>
      </c>
    </row>
    <row r="76" customFormat="false" ht="45.75" hidden="false" customHeight="true" outlineLevel="0" collapsed="false">
      <c r="A76" s="10" t="n">
        <v>74</v>
      </c>
      <c r="B76" s="11" t="s">
        <v>627</v>
      </c>
      <c r="C76" s="12" t="s">
        <v>628</v>
      </c>
      <c r="D76" s="13" t="s">
        <v>426</v>
      </c>
      <c r="E76" s="13" t="s">
        <v>427</v>
      </c>
      <c r="F76" s="13" t="s">
        <v>18</v>
      </c>
      <c r="G76" s="13" t="s">
        <v>168</v>
      </c>
      <c r="H76" s="15" t="s">
        <v>97</v>
      </c>
      <c r="I76" s="13" t="s">
        <v>629</v>
      </c>
      <c r="J76" s="13" t="s">
        <v>630</v>
      </c>
      <c r="K76" s="13" t="s">
        <v>631</v>
      </c>
      <c r="L76" s="13" t="s">
        <v>632</v>
      </c>
      <c r="M76" s="13" t="s">
        <v>633</v>
      </c>
    </row>
    <row r="77" customFormat="false" ht="45.75" hidden="false" customHeight="true" outlineLevel="0" collapsed="false">
      <c r="A77" s="5" t="n">
        <v>75</v>
      </c>
      <c r="B77" s="6" t="s">
        <v>634</v>
      </c>
      <c r="C77" s="7" t="s">
        <v>635</v>
      </c>
      <c r="D77" s="8" t="s">
        <v>426</v>
      </c>
      <c r="E77" s="8" t="s">
        <v>427</v>
      </c>
      <c r="F77" s="8" t="s">
        <v>186</v>
      </c>
      <c r="G77" s="8" t="s">
        <v>237</v>
      </c>
      <c r="H77" s="16" t="s">
        <v>169</v>
      </c>
      <c r="I77" s="8" t="s">
        <v>636</v>
      </c>
      <c r="J77" s="8" t="s">
        <v>637</v>
      </c>
      <c r="K77" s="8" t="s">
        <v>638</v>
      </c>
      <c r="L77" s="8" t="s">
        <v>639</v>
      </c>
      <c r="M77" s="8" t="s">
        <v>640</v>
      </c>
    </row>
    <row r="78" customFormat="false" ht="45.75" hidden="false" customHeight="true" outlineLevel="0" collapsed="false">
      <c r="A78" s="10" t="n">
        <v>76</v>
      </c>
      <c r="B78" s="11" t="s">
        <v>641</v>
      </c>
      <c r="C78" s="12" t="s">
        <v>642</v>
      </c>
      <c r="D78" s="13" t="s">
        <v>643</v>
      </c>
      <c r="E78" s="13" t="s">
        <v>277</v>
      </c>
      <c r="F78" s="13" t="s">
        <v>18</v>
      </c>
      <c r="G78" s="13" t="s">
        <v>195</v>
      </c>
      <c r="H78" s="15" t="s">
        <v>97</v>
      </c>
      <c r="I78" s="13" t="s">
        <v>644</v>
      </c>
      <c r="J78" s="13" t="s">
        <v>645</v>
      </c>
      <c r="K78" s="13" t="s">
        <v>646</v>
      </c>
      <c r="L78" s="13" t="s">
        <v>647</v>
      </c>
      <c r="M78" s="13" t="s">
        <v>648</v>
      </c>
    </row>
    <row r="79" customFormat="false" ht="45.75" hidden="false" customHeight="true" outlineLevel="0" collapsed="false">
      <c r="A79" s="5" t="n">
        <v>77</v>
      </c>
      <c r="B79" s="6" t="s">
        <v>649</v>
      </c>
      <c r="C79" s="7" t="s">
        <v>650</v>
      </c>
      <c r="D79" s="8" t="s">
        <v>643</v>
      </c>
      <c r="E79" s="8" t="s">
        <v>294</v>
      </c>
      <c r="F79" s="8" t="s">
        <v>18</v>
      </c>
      <c r="G79" s="8" t="s">
        <v>19</v>
      </c>
      <c r="H79" s="14" t="s">
        <v>46</v>
      </c>
      <c r="I79" s="8" t="s">
        <v>651</v>
      </c>
      <c r="J79" s="8" t="s">
        <v>652</v>
      </c>
      <c r="K79" s="8" t="s">
        <v>653</v>
      </c>
      <c r="L79" s="8" t="s">
        <v>654</v>
      </c>
      <c r="M79" s="8" t="s">
        <v>655</v>
      </c>
    </row>
    <row r="80" customFormat="false" ht="45.75" hidden="false" customHeight="true" outlineLevel="0" collapsed="false">
      <c r="A80" s="10" t="n">
        <v>78</v>
      </c>
      <c r="B80" s="11" t="s">
        <v>656</v>
      </c>
      <c r="C80" s="12" t="s">
        <v>657</v>
      </c>
      <c r="D80" s="13" t="s">
        <v>643</v>
      </c>
      <c r="E80" s="13" t="s">
        <v>277</v>
      </c>
      <c r="F80" s="13" t="s">
        <v>18</v>
      </c>
      <c r="G80" s="13" t="s">
        <v>195</v>
      </c>
      <c r="H80" s="15" t="s">
        <v>97</v>
      </c>
      <c r="I80" s="13" t="s">
        <v>658</v>
      </c>
      <c r="J80" s="13" t="s">
        <v>659</v>
      </c>
      <c r="K80" s="13" t="s">
        <v>660</v>
      </c>
      <c r="L80" s="13" t="s">
        <v>661</v>
      </c>
      <c r="M80" s="13" t="s">
        <v>662</v>
      </c>
    </row>
    <row r="81" customFormat="false" ht="45.75" hidden="false" customHeight="true" outlineLevel="0" collapsed="false">
      <c r="A81" s="5" t="n">
        <v>79</v>
      </c>
      <c r="B81" s="6" t="s">
        <v>663</v>
      </c>
      <c r="C81" s="7" t="s">
        <v>664</v>
      </c>
      <c r="D81" s="8" t="s">
        <v>643</v>
      </c>
      <c r="E81" s="8" t="s">
        <v>294</v>
      </c>
      <c r="F81" s="8" t="s">
        <v>18</v>
      </c>
      <c r="G81" s="8" t="s">
        <v>19</v>
      </c>
      <c r="H81" s="14" t="s">
        <v>46</v>
      </c>
      <c r="I81" s="8" t="s">
        <v>665</v>
      </c>
      <c r="J81" s="8" t="s">
        <v>666</v>
      </c>
      <c r="K81" s="8" t="s">
        <v>667</v>
      </c>
      <c r="L81" s="8" t="s">
        <v>668</v>
      </c>
      <c r="M81" s="8" t="s">
        <v>669</v>
      </c>
    </row>
    <row r="82" customFormat="false" ht="45.75" hidden="false" customHeight="true" outlineLevel="0" collapsed="false">
      <c r="A82" s="10" t="n">
        <v>80</v>
      </c>
      <c r="B82" s="11" t="s">
        <v>670</v>
      </c>
      <c r="C82" s="12" t="s">
        <v>671</v>
      </c>
      <c r="D82" s="13" t="s">
        <v>643</v>
      </c>
      <c r="E82" s="13" t="s">
        <v>355</v>
      </c>
      <c r="F82" s="13" t="s">
        <v>18</v>
      </c>
      <c r="G82" s="13" t="s">
        <v>195</v>
      </c>
      <c r="H82" s="15" t="s">
        <v>97</v>
      </c>
      <c r="I82" s="13" t="s">
        <v>672</v>
      </c>
      <c r="J82" s="13" t="s">
        <v>673</v>
      </c>
      <c r="K82" s="13" t="s">
        <v>674</v>
      </c>
      <c r="L82" s="13" t="s">
        <v>675</v>
      </c>
      <c r="M82" s="13" t="s">
        <v>676</v>
      </c>
    </row>
    <row r="83" customFormat="false" ht="45.75" hidden="false" customHeight="true" outlineLevel="0" collapsed="false">
      <c r="A83" s="5" t="n">
        <v>81</v>
      </c>
      <c r="B83" s="6" t="s">
        <v>677</v>
      </c>
      <c r="C83" s="7" t="s">
        <v>678</v>
      </c>
      <c r="D83" s="8" t="s">
        <v>643</v>
      </c>
      <c r="E83" s="8" t="s">
        <v>679</v>
      </c>
      <c r="F83" s="8" t="s">
        <v>228</v>
      </c>
      <c r="G83" s="8" t="s">
        <v>237</v>
      </c>
      <c r="H83" s="15" t="s">
        <v>97</v>
      </c>
      <c r="I83" s="8" t="s">
        <v>680</v>
      </c>
      <c r="J83" s="8" t="s">
        <v>681</v>
      </c>
      <c r="K83" s="8" t="s">
        <v>682</v>
      </c>
      <c r="L83" s="8" t="s">
        <v>683</v>
      </c>
      <c r="M83" s="8" t="s">
        <v>684</v>
      </c>
    </row>
    <row r="84" customFormat="false" ht="45.75" hidden="false" customHeight="true" outlineLevel="0" collapsed="false">
      <c r="A84" s="10" t="n">
        <v>82</v>
      </c>
      <c r="B84" s="11" t="s">
        <v>685</v>
      </c>
      <c r="C84" s="12" t="s">
        <v>686</v>
      </c>
      <c r="D84" s="13" t="s">
        <v>643</v>
      </c>
      <c r="E84" s="13" t="s">
        <v>355</v>
      </c>
      <c r="F84" s="13" t="s">
        <v>18</v>
      </c>
      <c r="G84" s="13" t="s">
        <v>195</v>
      </c>
      <c r="H84" s="15" t="s">
        <v>97</v>
      </c>
      <c r="I84" s="13" t="s">
        <v>687</v>
      </c>
      <c r="J84" s="13" t="s">
        <v>688</v>
      </c>
      <c r="K84" s="13" t="s">
        <v>689</v>
      </c>
      <c r="L84" s="13" t="s">
        <v>690</v>
      </c>
      <c r="M84" s="13" t="s">
        <v>691</v>
      </c>
    </row>
    <row r="85" customFormat="false" ht="45.75" hidden="false" customHeight="true" outlineLevel="0" collapsed="false">
      <c r="A85" s="5" t="n">
        <v>83</v>
      </c>
      <c r="B85" s="6" t="s">
        <v>692</v>
      </c>
      <c r="C85" s="7" t="s">
        <v>693</v>
      </c>
      <c r="D85" s="8" t="s">
        <v>694</v>
      </c>
      <c r="E85" s="8" t="s">
        <v>695</v>
      </c>
      <c r="F85" s="8" t="s">
        <v>18</v>
      </c>
      <c r="G85" s="8" t="s">
        <v>19</v>
      </c>
      <c r="H85" s="9" t="s">
        <v>20</v>
      </c>
      <c r="I85" s="8" t="s">
        <v>696</v>
      </c>
      <c r="J85" s="8" t="s">
        <v>697</v>
      </c>
      <c r="K85" s="8" t="s">
        <v>698</v>
      </c>
      <c r="L85" s="8" t="s">
        <v>699</v>
      </c>
      <c r="M85" s="8" t="s">
        <v>700</v>
      </c>
    </row>
    <row r="86" customFormat="false" ht="45.75" hidden="false" customHeight="true" outlineLevel="0" collapsed="false">
      <c r="A86" s="10" t="n">
        <v>84</v>
      </c>
      <c r="B86" s="11" t="s">
        <v>701</v>
      </c>
      <c r="C86" s="12" t="s">
        <v>702</v>
      </c>
      <c r="D86" s="12" t="s">
        <v>703</v>
      </c>
      <c r="E86" s="13" t="s">
        <v>704</v>
      </c>
      <c r="F86" s="13" t="s">
        <v>18</v>
      </c>
      <c r="G86" s="13" t="s">
        <v>19</v>
      </c>
      <c r="H86" s="14" t="s">
        <v>46</v>
      </c>
      <c r="I86" s="13" t="s">
        <v>705</v>
      </c>
      <c r="J86" s="13" t="s">
        <v>706</v>
      </c>
      <c r="K86" s="13" t="s">
        <v>707</v>
      </c>
      <c r="L86" s="13" t="s">
        <v>708</v>
      </c>
      <c r="M86" s="13" t="s">
        <v>709</v>
      </c>
    </row>
    <row r="87" customFormat="false" ht="45.75" hidden="false" customHeight="true" outlineLevel="0" collapsed="false">
      <c r="A87" s="5" t="n">
        <v>85</v>
      </c>
      <c r="B87" s="6" t="s">
        <v>710</v>
      </c>
      <c r="C87" s="7" t="s">
        <v>711</v>
      </c>
      <c r="D87" s="7" t="s">
        <v>712</v>
      </c>
      <c r="E87" s="8" t="s">
        <v>713</v>
      </c>
      <c r="F87" s="8" t="s">
        <v>18</v>
      </c>
      <c r="G87" s="8" t="s">
        <v>195</v>
      </c>
      <c r="H87" s="15" t="s">
        <v>97</v>
      </c>
      <c r="I87" s="8" t="s">
        <v>714</v>
      </c>
      <c r="J87" s="8" t="s">
        <v>715</v>
      </c>
      <c r="K87" s="8" t="s">
        <v>716</v>
      </c>
      <c r="L87" s="8" t="s">
        <v>717</v>
      </c>
      <c r="M87" s="8" t="s">
        <v>718</v>
      </c>
    </row>
    <row r="88" customFormat="false" ht="45.75" hidden="false" customHeight="true" outlineLevel="0" collapsed="false">
      <c r="A88" s="10" t="n">
        <v>86</v>
      </c>
      <c r="B88" s="11" t="s">
        <v>719</v>
      </c>
      <c r="C88" s="12" t="s">
        <v>720</v>
      </c>
      <c r="D88" s="13" t="s">
        <v>721</v>
      </c>
      <c r="E88" s="13" t="s">
        <v>722</v>
      </c>
      <c r="F88" s="13" t="s">
        <v>228</v>
      </c>
      <c r="G88" s="13" t="s">
        <v>149</v>
      </c>
      <c r="H88" s="15" t="s">
        <v>97</v>
      </c>
      <c r="I88" s="13" t="s">
        <v>723</v>
      </c>
      <c r="J88" s="13" t="s">
        <v>724</v>
      </c>
      <c r="K88" s="13" t="s">
        <v>725</v>
      </c>
      <c r="L88" s="13" t="s">
        <v>726</v>
      </c>
      <c r="M88" s="13" t="s">
        <v>727</v>
      </c>
    </row>
    <row r="89" customFormat="false" ht="45.75" hidden="false" customHeight="true" outlineLevel="0" collapsed="false">
      <c r="A89" s="5" t="n">
        <v>87</v>
      </c>
      <c r="B89" s="6" t="s">
        <v>728</v>
      </c>
      <c r="C89" s="7" t="s">
        <v>729</v>
      </c>
      <c r="D89" s="8" t="s">
        <v>721</v>
      </c>
      <c r="E89" s="8" t="s">
        <v>730</v>
      </c>
      <c r="F89" s="8" t="s">
        <v>228</v>
      </c>
      <c r="G89" s="8" t="s">
        <v>149</v>
      </c>
      <c r="H89" s="15" t="s">
        <v>97</v>
      </c>
      <c r="I89" s="8" t="s">
        <v>731</v>
      </c>
      <c r="J89" s="8" t="s">
        <v>732</v>
      </c>
      <c r="K89" s="8" t="s">
        <v>733</v>
      </c>
      <c r="L89" s="8" t="s">
        <v>734</v>
      </c>
      <c r="M89" s="8" t="s">
        <v>735</v>
      </c>
    </row>
    <row r="90" customFormat="false" ht="45.75" hidden="false" customHeight="true" outlineLevel="0" collapsed="false">
      <c r="A90" s="10" t="n">
        <v>88</v>
      </c>
      <c r="B90" s="11" t="s">
        <v>736</v>
      </c>
      <c r="C90" s="12" t="s">
        <v>737</v>
      </c>
      <c r="D90" s="12" t="s">
        <v>738</v>
      </c>
      <c r="E90" s="13" t="s">
        <v>739</v>
      </c>
      <c r="F90" s="13" t="s">
        <v>228</v>
      </c>
      <c r="G90" s="13" t="s">
        <v>237</v>
      </c>
      <c r="H90" s="15" t="s">
        <v>97</v>
      </c>
      <c r="I90" s="13" t="s">
        <v>740</v>
      </c>
      <c r="J90" s="13" t="s">
        <v>741</v>
      </c>
      <c r="K90" s="13" t="s">
        <v>742</v>
      </c>
      <c r="L90" s="13" t="s">
        <v>743</v>
      </c>
      <c r="M90" s="13" t="s">
        <v>744</v>
      </c>
    </row>
    <row r="91" customFormat="false" ht="45.75" hidden="false" customHeight="true" outlineLevel="0" collapsed="false">
      <c r="A91" s="5" t="n">
        <v>89</v>
      </c>
      <c r="B91" s="6" t="s">
        <v>745</v>
      </c>
      <c r="C91" s="7" t="s">
        <v>746</v>
      </c>
      <c r="D91" s="8" t="s">
        <v>721</v>
      </c>
      <c r="E91" s="8" t="s">
        <v>747</v>
      </c>
      <c r="F91" s="8" t="s">
        <v>18</v>
      </c>
      <c r="G91" s="8" t="s">
        <v>195</v>
      </c>
      <c r="H91" s="15" t="s">
        <v>97</v>
      </c>
      <c r="I91" s="8" t="s">
        <v>748</v>
      </c>
      <c r="J91" s="8" t="s">
        <v>749</v>
      </c>
      <c r="K91" s="8" t="s">
        <v>750</v>
      </c>
      <c r="L91" s="8" t="s">
        <v>751</v>
      </c>
      <c r="M91" s="8" t="s">
        <v>752</v>
      </c>
    </row>
    <row r="92" customFormat="false" ht="45.75" hidden="false" customHeight="true" outlineLevel="0" collapsed="false">
      <c r="A92" s="10" t="n">
        <v>90</v>
      </c>
      <c r="B92" s="11" t="s">
        <v>753</v>
      </c>
      <c r="C92" s="12" t="s">
        <v>754</v>
      </c>
      <c r="D92" s="13" t="s">
        <v>721</v>
      </c>
      <c r="E92" s="13" t="s">
        <v>755</v>
      </c>
      <c r="F92" s="13" t="s">
        <v>18</v>
      </c>
      <c r="G92" s="13" t="s">
        <v>195</v>
      </c>
      <c r="H92" s="15" t="s">
        <v>97</v>
      </c>
      <c r="I92" s="13" t="s">
        <v>756</v>
      </c>
      <c r="J92" s="13" t="s">
        <v>757</v>
      </c>
      <c r="K92" s="13" t="s">
        <v>758</v>
      </c>
      <c r="L92" s="13" t="s">
        <v>759</v>
      </c>
      <c r="M92" s="13" t="s">
        <v>760</v>
      </c>
    </row>
    <row r="93" customFormat="false" ht="45.75" hidden="false" customHeight="true" outlineLevel="0" collapsed="false">
      <c r="A93" s="5" t="n">
        <v>91</v>
      </c>
      <c r="B93" s="6" t="s">
        <v>761</v>
      </c>
      <c r="C93" s="7" t="s">
        <v>762</v>
      </c>
      <c r="D93" s="8" t="s">
        <v>721</v>
      </c>
      <c r="E93" s="8" t="s">
        <v>763</v>
      </c>
      <c r="F93" s="8" t="s">
        <v>186</v>
      </c>
      <c r="G93" s="8" t="s">
        <v>195</v>
      </c>
      <c r="H93" s="15" t="s">
        <v>97</v>
      </c>
      <c r="I93" s="8" t="s">
        <v>764</v>
      </c>
      <c r="J93" s="8" t="s">
        <v>765</v>
      </c>
      <c r="K93" s="8" t="s">
        <v>766</v>
      </c>
      <c r="L93" s="8" t="s">
        <v>767</v>
      </c>
      <c r="M93" s="8" t="s">
        <v>768</v>
      </c>
    </row>
    <row r="94" customFormat="false" ht="45.75" hidden="false" customHeight="true" outlineLevel="0" collapsed="false">
      <c r="A94" s="10" t="n">
        <v>92</v>
      </c>
      <c r="B94" s="11" t="s">
        <v>769</v>
      </c>
      <c r="C94" s="12" t="s">
        <v>770</v>
      </c>
      <c r="D94" s="13" t="s">
        <v>721</v>
      </c>
      <c r="E94" s="13" t="s">
        <v>771</v>
      </c>
      <c r="F94" s="13" t="s">
        <v>186</v>
      </c>
      <c r="G94" s="13" t="s">
        <v>195</v>
      </c>
      <c r="H94" s="15" t="s">
        <v>97</v>
      </c>
      <c r="I94" s="13" t="s">
        <v>772</v>
      </c>
      <c r="J94" s="13" t="s">
        <v>773</v>
      </c>
      <c r="K94" s="13" t="s">
        <v>774</v>
      </c>
      <c r="L94" s="13" t="s">
        <v>775</v>
      </c>
      <c r="M94" s="13" t="s">
        <v>776</v>
      </c>
    </row>
    <row r="95" customFormat="false" ht="45.75" hidden="false" customHeight="true" outlineLevel="0" collapsed="false">
      <c r="A95" s="5" t="n">
        <v>93</v>
      </c>
      <c r="B95" s="6" t="s">
        <v>777</v>
      </c>
      <c r="C95" s="7" t="s">
        <v>778</v>
      </c>
      <c r="D95" s="8" t="s">
        <v>721</v>
      </c>
      <c r="E95" s="8" t="s">
        <v>779</v>
      </c>
      <c r="F95" s="8" t="s">
        <v>18</v>
      </c>
      <c r="G95" s="8" t="s">
        <v>195</v>
      </c>
      <c r="H95" s="15" t="s">
        <v>97</v>
      </c>
      <c r="I95" s="8" t="s">
        <v>780</v>
      </c>
      <c r="J95" s="8" t="s">
        <v>781</v>
      </c>
      <c r="K95" s="8" t="s">
        <v>782</v>
      </c>
      <c r="L95" s="8" t="s">
        <v>783</v>
      </c>
      <c r="M95" s="8" t="s">
        <v>784</v>
      </c>
    </row>
    <row r="96" customFormat="false" ht="45.75" hidden="false" customHeight="true" outlineLevel="0" collapsed="false">
      <c r="A96" s="10" t="n">
        <v>94</v>
      </c>
      <c r="B96" s="11" t="s">
        <v>785</v>
      </c>
      <c r="C96" s="12" t="s">
        <v>786</v>
      </c>
      <c r="D96" s="13" t="s">
        <v>721</v>
      </c>
      <c r="E96" s="13" t="s">
        <v>787</v>
      </c>
      <c r="F96" s="13" t="s">
        <v>18</v>
      </c>
      <c r="G96" s="13" t="s">
        <v>19</v>
      </c>
      <c r="H96" s="9" t="s">
        <v>20</v>
      </c>
      <c r="I96" s="13" t="s">
        <v>788</v>
      </c>
      <c r="J96" s="13" t="s">
        <v>789</v>
      </c>
      <c r="K96" s="13" t="s">
        <v>790</v>
      </c>
      <c r="L96" s="13" t="s">
        <v>791</v>
      </c>
      <c r="M96" s="13" t="s">
        <v>792</v>
      </c>
    </row>
    <row r="97" customFormat="false" ht="45.75" hidden="false" customHeight="true" outlineLevel="0" collapsed="false">
      <c r="A97" s="5" t="n">
        <v>95</v>
      </c>
      <c r="B97" s="6" t="s">
        <v>793</v>
      </c>
      <c r="C97" s="7" t="s">
        <v>794</v>
      </c>
      <c r="D97" s="8" t="s">
        <v>721</v>
      </c>
      <c r="E97" s="8" t="s">
        <v>795</v>
      </c>
      <c r="F97" s="8" t="s">
        <v>228</v>
      </c>
      <c r="G97" s="8" t="s">
        <v>149</v>
      </c>
      <c r="H97" s="15" t="s">
        <v>97</v>
      </c>
      <c r="I97" s="8" t="s">
        <v>796</v>
      </c>
      <c r="J97" s="8" t="s">
        <v>797</v>
      </c>
      <c r="K97" s="8" t="s">
        <v>798</v>
      </c>
      <c r="L97" s="8" t="s">
        <v>799</v>
      </c>
      <c r="M97" s="8" t="s">
        <v>800</v>
      </c>
    </row>
    <row r="98" customFormat="false" ht="45.75" hidden="false" customHeight="true" outlineLevel="0" collapsed="false">
      <c r="A98" s="10" t="n">
        <v>96</v>
      </c>
      <c r="B98" s="11" t="s">
        <v>801</v>
      </c>
      <c r="C98" s="12" t="s">
        <v>802</v>
      </c>
      <c r="D98" s="12" t="s">
        <v>803</v>
      </c>
      <c r="E98" s="13" t="s">
        <v>804</v>
      </c>
      <c r="F98" s="13" t="s">
        <v>228</v>
      </c>
      <c r="G98" s="13" t="s">
        <v>149</v>
      </c>
      <c r="H98" s="9" t="s">
        <v>20</v>
      </c>
      <c r="I98" s="13" t="s">
        <v>805</v>
      </c>
      <c r="J98" s="13" t="s">
        <v>806</v>
      </c>
      <c r="K98" s="13" t="s">
        <v>807</v>
      </c>
      <c r="L98" s="13" t="s">
        <v>808</v>
      </c>
      <c r="M98" s="13" t="s">
        <v>809</v>
      </c>
    </row>
    <row r="99" customFormat="false" ht="45.75" hidden="false" customHeight="true" outlineLevel="0" collapsed="false">
      <c r="A99" s="5" t="n">
        <v>97</v>
      </c>
      <c r="B99" s="6" t="s">
        <v>810</v>
      </c>
      <c r="C99" s="7" t="s">
        <v>811</v>
      </c>
      <c r="D99" s="8" t="s">
        <v>721</v>
      </c>
      <c r="E99" s="8" t="s">
        <v>812</v>
      </c>
      <c r="F99" s="8" t="s">
        <v>18</v>
      </c>
      <c r="G99" s="8" t="s">
        <v>19</v>
      </c>
      <c r="H99" s="9" t="s">
        <v>20</v>
      </c>
      <c r="I99" s="8" t="s">
        <v>813</v>
      </c>
      <c r="J99" s="8" t="s">
        <v>814</v>
      </c>
      <c r="K99" s="8" t="s">
        <v>815</v>
      </c>
      <c r="L99" s="8" t="s">
        <v>816</v>
      </c>
      <c r="M99" s="8" t="s">
        <v>817</v>
      </c>
    </row>
    <row r="100" customFormat="false" ht="45.75" hidden="false" customHeight="true" outlineLevel="0" collapsed="false">
      <c r="A100" s="10" t="n">
        <v>98</v>
      </c>
      <c r="B100" s="11" t="s">
        <v>818</v>
      </c>
      <c r="C100" s="12" t="s">
        <v>819</v>
      </c>
      <c r="D100" s="13" t="s">
        <v>820</v>
      </c>
      <c r="E100" s="13" t="s">
        <v>821</v>
      </c>
      <c r="F100" s="13" t="s">
        <v>18</v>
      </c>
      <c r="G100" s="13" t="s">
        <v>140</v>
      </c>
      <c r="H100" s="15" t="s">
        <v>97</v>
      </c>
      <c r="I100" s="13" t="s">
        <v>822</v>
      </c>
      <c r="J100" s="13" t="s">
        <v>823</v>
      </c>
      <c r="K100" s="13" t="s">
        <v>824</v>
      </c>
      <c r="L100" s="13" t="s">
        <v>825</v>
      </c>
      <c r="M100" s="13" t="s">
        <v>826</v>
      </c>
    </row>
    <row r="101" customFormat="false" ht="45.75" hidden="false" customHeight="true" outlineLevel="0" collapsed="false">
      <c r="A101" s="5" t="n">
        <v>99</v>
      </c>
      <c r="B101" s="6" t="s">
        <v>827</v>
      </c>
      <c r="C101" s="7" t="s">
        <v>828</v>
      </c>
      <c r="D101" s="8" t="s">
        <v>829</v>
      </c>
      <c r="E101" s="8" t="s">
        <v>830</v>
      </c>
      <c r="F101" s="8" t="s">
        <v>228</v>
      </c>
      <c r="G101" s="8" t="s">
        <v>149</v>
      </c>
      <c r="H101" s="15" t="s">
        <v>97</v>
      </c>
      <c r="I101" s="8" t="s">
        <v>831</v>
      </c>
      <c r="J101" s="8" t="s">
        <v>832</v>
      </c>
      <c r="K101" s="8" t="s">
        <v>833</v>
      </c>
      <c r="L101" s="8" t="s">
        <v>834</v>
      </c>
      <c r="M101" s="8" t="s">
        <v>835</v>
      </c>
    </row>
    <row r="102" customFormat="false" ht="45.75" hidden="false" customHeight="true" outlineLevel="0" collapsed="false">
      <c r="A102" s="10" t="n">
        <v>100</v>
      </c>
      <c r="B102" s="11" t="s">
        <v>836</v>
      </c>
      <c r="C102" s="12" t="s">
        <v>837</v>
      </c>
      <c r="D102" s="12" t="s">
        <v>838</v>
      </c>
      <c r="E102" s="13" t="s">
        <v>839</v>
      </c>
      <c r="F102" s="13" t="s">
        <v>228</v>
      </c>
      <c r="G102" s="13" t="s">
        <v>149</v>
      </c>
      <c r="H102" s="15" t="s">
        <v>97</v>
      </c>
      <c r="I102" s="13" t="s">
        <v>840</v>
      </c>
      <c r="J102" s="13" t="s">
        <v>841</v>
      </c>
      <c r="K102" s="13" t="s">
        <v>842</v>
      </c>
      <c r="L102" s="13" t="s">
        <v>843</v>
      </c>
      <c r="M102" s="13" t="s">
        <v>844</v>
      </c>
    </row>
    <row r="103" customFormat="false" ht="45.75" hidden="false" customHeight="true" outlineLevel="0" collapsed="false">
      <c r="A103" s="5" t="n">
        <v>101</v>
      </c>
      <c r="B103" s="6" t="s">
        <v>845</v>
      </c>
      <c r="C103" s="7" t="s">
        <v>846</v>
      </c>
      <c r="D103" s="8" t="s">
        <v>829</v>
      </c>
      <c r="E103" s="8" t="s">
        <v>847</v>
      </c>
      <c r="F103" s="8" t="s">
        <v>18</v>
      </c>
      <c r="G103" s="8" t="s">
        <v>195</v>
      </c>
      <c r="H103" s="15" t="s">
        <v>97</v>
      </c>
      <c r="I103" s="8" t="s">
        <v>848</v>
      </c>
      <c r="J103" s="8" t="s">
        <v>849</v>
      </c>
      <c r="K103" s="8" t="s">
        <v>850</v>
      </c>
      <c r="L103" s="8" t="s">
        <v>851</v>
      </c>
      <c r="M103" s="8" t="s">
        <v>852</v>
      </c>
    </row>
    <row r="104" customFormat="false" ht="45.75" hidden="false" customHeight="true" outlineLevel="0" collapsed="false">
      <c r="A104" s="10" t="n">
        <v>102</v>
      </c>
      <c r="B104" s="11" t="s">
        <v>853</v>
      </c>
      <c r="C104" s="12" t="s">
        <v>854</v>
      </c>
      <c r="D104" s="12" t="s">
        <v>855</v>
      </c>
      <c r="E104" s="13" t="s">
        <v>856</v>
      </c>
      <c r="F104" s="13" t="s">
        <v>228</v>
      </c>
      <c r="G104" s="13" t="s">
        <v>237</v>
      </c>
      <c r="H104" s="15" t="s">
        <v>97</v>
      </c>
      <c r="I104" s="13" t="s">
        <v>857</v>
      </c>
      <c r="J104" s="13" t="s">
        <v>858</v>
      </c>
      <c r="K104" s="13" t="s">
        <v>859</v>
      </c>
      <c r="L104" s="13" t="s">
        <v>860</v>
      </c>
      <c r="M104" s="13" t="s">
        <v>861</v>
      </c>
    </row>
    <row r="105" customFormat="false" ht="45.75" hidden="false" customHeight="true" outlineLevel="0" collapsed="false">
      <c r="A105" s="5" t="n">
        <v>103</v>
      </c>
      <c r="B105" s="6" t="s">
        <v>862</v>
      </c>
      <c r="C105" s="7" t="s">
        <v>863</v>
      </c>
      <c r="D105" s="8" t="s">
        <v>829</v>
      </c>
      <c r="E105" s="8" t="s">
        <v>864</v>
      </c>
      <c r="F105" s="8" t="s">
        <v>18</v>
      </c>
      <c r="G105" s="8" t="s">
        <v>195</v>
      </c>
      <c r="H105" s="15" t="s">
        <v>97</v>
      </c>
      <c r="I105" s="8" t="s">
        <v>865</v>
      </c>
      <c r="J105" s="8" t="s">
        <v>866</v>
      </c>
      <c r="K105" s="8" t="s">
        <v>867</v>
      </c>
      <c r="L105" s="8" t="s">
        <v>868</v>
      </c>
      <c r="M105" s="8" t="s">
        <v>869</v>
      </c>
    </row>
    <row r="106" customFormat="false" ht="45.75" hidden="false" customHeight="true" outlineLevel="0" collapsed="false">
      <c r="A106" s="10" t="n">
        <v>104</v>
      </c>
      <c r="B106" s="11" t="s">
        <v>870</v>
      </c>
      <c r="C106" s="12" t="s">
        <v>871</v>
      </c>
      <c r="D106" s="12" t="s">
        <v>872</v>
      </c>
      <c r="E106" s="13" t="s">
        <v>873</v>
      </c>
      <c r="F106" s="13" t="s">
        <v>18</v>
      </c>
      <c r="G106" s="13" t="s">
        <v>140</v>
      </c>
      <c r="H106" s="15" t="s">
        <v>97</v>
      </c>
      <c r="I106" s="13" t="s">
        <v>874</v>
      </c>
      <c r="J106" s="13" t="s">
        <v>875</v>
      </c>
      <c r="K106" s="13" t="s">
        <v>876</v>
      </c>
      <c r="L106" s="13" t="s">
        <v>877</v>
      </c>
      <c r="M106" s="13" t="s">
        <v>878</v>
      </c>
    </row>
    <row r="107" customFormat="false" ht="45.75" hidden="false" customHeight="true" outlineLevel="0" collapsed="false">
      <c r="A107" s="5" t="n">
        <v>105</v>
      </c>
      <c r="B107" s="6" t="s">
        <v>879</v>
      </c>
      <c r="C107" s="7" t="s">
        <v>880</v>
      </c>
      <c r="D107" s="7" t="s">
        <v>881</v>
      </c>
      <c r="E107" s="8" t="s">
        <v>882</v>
      </c>
      <c r="F107" s="8" t="s">
        <v>18</v>
      </c>
      <c r="G107" s="8" t="s">
        <v>195</v>
      </c>
      <c r="H107" s="15" t="s">
        <v>97</v>
      </c>
      <c r="I107" s="8" t="s">
        <v>883</v>
      </c>
      <c r="J107" s="8" t="s">
        <v>884</v>
      </c>
      <c r="K107" s="8" t="s">
        <v>885</v>
      </c>
      <c r="L107" s="8" t="s">
        <v>886</v>
      </c>
      <c r="M107" s="8" t="s">
        <v>887</v>
      </c>
    </row>
    <row r="108" customFormat="false" ht="45.75" hidden="false" customHeight="true" outlineLevel="0" collapsed="false">
      <c r="A108" s="10" t="n">
        <v>106</v>
      </c>
      <c r="B108" s="11" t="s">
        <v>888</v>
      </c>
      <c r="C108" s="12" t="s">
        <v>889</v>
      </c>
      <c r="D108" s="12" t="s">
        <v>890</v>
      </c>
      <c r="E108" s="13" t="s">
        <v>891</v>
      </c>
      <c r="F108" s="13" t="s">
        <v>18</v>
      </c>
      <c r="G108" s="13" t="s">
        <v>19</v>
      </c>
      <c r="H108" s="9" t="s">
        <v>20</v>
      </c>
      <c r="I108" s="13" t="s">
        <v>892</v>
      </c>
      <c r="J108" s="13" t="s">
        <v>893</v>
      </c>
      <c r="K108" s="13" t="s">
        <v>894</v>
      </c>
      <c r="L108" s="13" t="s">
        <v>895</v>
      </c>
      <c r="M108" s="13" t="s">
        <v>896</v>
      </c>
    </row>
    <row r="109" customFormat="false" ht="45.75" hidden="false" customHeight="true" outlineLevel="0" collapsed="false">
      <c r="A109" s="5" t="n">
        <v>107</v>
      </c>
      <c r="B109" s="6" t="s">
        <v>897</v>
      </c>
      <c r="C109" s="7" t="s">
        <v>898</v>
      </c>
      <c r="D109" s="8" t="s">
        <v>829</v>
      </c>
      <c r="E109" s="8" t="s">
        <v>899</v>
      </c>
      <c r="F109" s="8" t="s">
        <v>228</v>
      </c>
      <c r="G109" s="8" t="s">
        <v>149</v>
      </c>
      <c r="H109" s="15" t="s">
        <v>97</v>
      </c>
      <c r="I109" s="8" t="s">
        <v>900</v>
      </c>
      <c r="J109" s="8" t="s">
        <v>901</v>
      </c>
      <c r="K109" s="8" t="s">
        <v>902</v>
      </c>
      <c r="L109" s="8" t="s">
        <v>903</v>
      </c>
      <c r="M109" s="8" t="s">
        <v>904</v>
      </c>
    </row>
    <row r="110" customFormat="false" ht="45.75" hidden="false" customHeight="true" outlineLevel="0" collapsed="false">
      <c r="A110" s="10" t="n">
        <v>108</v>
      </c>
      <c r="B110" s="11" t="s">
        <v>905</v>
      </c>
      <c r="C110" s="12" t="s">
        <v>906</v>
      </c>
      <c r="D110" s="13" t="s">
        <v>829</v>
      </c>
      <c r="E110" s="13" t="s">
        <v>907</v>
      </c>
      <c r="F110" s="13" t="s">
        <v>54</v>
      </c>
      <c r="G110" s="13" t="s">
        <v>19</v>
      </c>
      <c r="H110" s="14" t="s">
        <v>46</v>
      </c>
      <c r="I110" s="13" t="s">
        <v>908</v>
      </c>
      <c r="J110" s="13" t="s">
        <v>909</v>
      </c>
      <c r="K110" s="13" t="s">
        <v>910</v>
      </c>
      <c r="L110" s="13" t="s">
        <v>911</v>
      </c>
      <c r="M110" s="13" t="s">
        <v>912</v>
      </c>
    </row>
    <row r="111" customFormat="false" ht="45.75" hidden="false" customHeight="true" outlineLevel="0" collapsed="false">
      <c r="A111" s="5" t="n">
        <v>109</v>
      </c>
      <c r="B111" s="6" t="s">
        <v>913</v>
      </c>
      <c r="C111" s="7" t="s">
        <v>914</v>
      </c>
      <c r="D111" s="8" t="s">
        <v>915</v>
      </c>
      <c r="E111" s="8" t="s">
        <v>916</v>
      </c>
      <c r="F111" s="8" t="s">
        <v>18</v>
      </c>
      <c r="G111" s="8" t="s">
        <v>195</v>
      </c>
      <c r="H111" s="15" t="s">
        <v>97</v>
      </c>
      <c r="I111" s="8" t="s">
        <v>917</v>
      </c>
      <c r="J111" s="8" t="s">
        <v>918</v>
      </c>
      <c r="K111" s="8" t="s">
        <v>919</v>
      </c>
      <c r="L111" s="8" t="s">
        <v>920</v>
      </c>
      <c r="M111" s="8" t="s">
        <v>921</v>
      </c>
    </row>
    <row r="112" customFormat="false" ht="45.75" hidden="false" customHeight="true" outlineLevel="0" collapsed="false">
      <c r="A112" s="10" t="n">
        <v>110</v>
      </c>
      <c r="B112" s="11" t="s">
        <v>922</v>
      </c>
      <c r="C112" s="12" t="s">
        <v>923</v>
      </c>
      <c r="D112" s="13" t="s">
        <v>915</v>
      </c>
      <c r="E112" s="13" t="s">
        <v>924</v>
      </c>
      <c r="F112" s="13" t="s">
        <v>228</v>
      </c>
      <c r="G112" s="13" t="s">
        <v>149</v>
      </c>
      <c r="H112" s="9" t="s">
        <v>20</v>
      </c>
      <c r="I112" s="13" t="s">
        <v>925</v>
      </c>
      <c r="J112" s="13" t="s">
        <v>926</v>
      </c>
      <c r="K112" s="13" t="s">
        <v>927</v>
      </c>
      <c r="L112" s="13" t="s">
        <v>928</v>
      </c>
      <c r="M112" s="13" t="s">
        <v>929</v>
      </c>
    </row>
    <row r="113" customFormat="false" ht="45.75" hidden="false" customHeight="true" outlineLevel="0" collapsed="false">
      <c r="A113" s="5" t="n">
        <v>111</v>
      </c>
      <c r="B113" s="6" t="s">
        <v>930</v>
      </c>
      <c r="C113" s="7" t="s">
        <v>931</v>
      </c>
      <c r="D113" s="7" t="s">
        <v>932</v>
      </c>
      <c r="E113" s="8" t="s">
        <v>933</v>
      </c>
      <c r="F113" s="8" t="s">
        <v>18</v>
      </c>
      <c r="G113" s="8" t="s">
        <v>140</v>
      </c>
      <c r="H113" s="15" t="s">
        <v>97</v>
      </c>
      <c r="I113" s="8" t="s">
        <v>934</v>
      </c>
      <c r="J113" s="8" t="s">
        <v>935</v>
      </c>
      <c r="K113" s="8" t="s">
        <v>936</v>
      </c>
      <c r="L113" s="8" t="s">
        <v>937</v>
      </c>
      <c r="M113" s="8" t="s">
        <v>938</v>
      </c>
    </row>
    <row r="114" customFormat="false" ht="45.75" hidden="false" customHeight="true" outlineLevel="0" collapsed="false">
      <c r="A114" s="10" t="n">
        <v>112</v>
      </c>
      <c r="B114" s="11" t="s">
        <v>939</v>
      </c>
      <c r="C114" s="12" t="s">
        <v>940</v>
      </c>
      <c r="D114" s="12" t="s">
        <v>941</v>
      </c>
      <c r="E114" s="13" t="s">
        <v>942</v>
      </c>
      <c r="F114" s="13" t="s">
        <v>228</v>
      </c>
      <c r="G114" s="13" t="s">
        <v>149</v>
      </c>
      <c r="H114" s="9" t="s">
        <v>20</v>
      </c>
      <c r="I114" s="13" t="s">
        <v>943</v>
      </c>
      <c r="J114" s="13" t="s">
        <v>944</v>
      </c>
      <c r="K114" s="13" t="s">
        <v>945</v>
      </c>
      <c r="L114" s="13" t="s">
        <v>946</v>
      </c>
      <c r="M114" s="13" t="s">
        <v>947</v>
      </c>
    </row>
    <row r="115" customFormat="false" ht="45.75" hidden="false" customHeight="true" outlineLevel="0" collapsed="false">
      <c r="A115" s="5" t="n">
        <v>113</v>
      </c>
      <c r="B115" s="6" t="s">
        <v>948</v>
      </c>
      <c r="C115" s="7" t="s">
        <v>949</v>
      </c>
      <c r="D115" s="8" t="s">
        <v>915</v>
      </c>
      <c r="E115" s="8" t="s">
        <v>950</v>
      </c>
      <c r="F115" s="8" t="s">
        <v>54</v>
      </c>
      <c r="G115" s="8" t="s">
        <v>19</v>
      </c>
      <c r="H115" s="14" t="s">
        <v>46</v>
      </c>
      <c r="I115" s="8" t="s">
        <v>951</v>
      </c>
      <c r="J115" s="8" t="s">
        <v>952</v>
      </c>
      <c r="K115" s="8" t="s">
        <v>953</v>
      </c>
      <c r="L115" s="8" t="s">
        <v>954</v>
      </c>
      <c r="M115" s="8" t="s">
        <v>955</v>
      </c>
    </row>
    <row r="116" customFormat="false" ht="45.75" hidden="false" customHeight="true" outlineLevel="0" collapsed="false">
      <c r="A116" s="10" t="n">
        <v>114</v>
      </c>
      <c r="B116" s="11" t="s">
        <v>956</v>
      </c>
      <c r="C116" s="12" t="s">
        <v>957</v>
      </c>
      <c r="D116" s="13" t="s">
        <v>915</v>
      </c>
      <c r="E116" s="13" t="s">
        <v>461</v>
      </c>
      <c r="F116" s="13" t="s">
        <v>18</v>
      </c>
      <c r="G116" s="13" t="s">
        <v>140</v>
      </c>
      <c r="H116" s="15" t="s">
        <v>97</v>
      </c>
      <c r="I116" s="13" t="s">
        <v>958</v>
      </c>
      <c r="J116" s="13" t="s">
        <v>959</v>
      </c>
      <c r="K116" s="13" t="s">
        <v>960</v>
      </c>
      <c r="L116" s="13" t="s">
        <v>961</v>
      </c>
      <c r="M116" s="13" t="s">
        <v>962</v>
      </c>
    </row>
    <row r="117" customFormat="false" ht="45.75" hidden="false" customHeight="true" outlineLevel="0" collapsed="false">
      <c r="A117" s="5" t="n">
        <v>115</v>
      </c>
      <c r="B117" s="6" t="s">
        <v>963</v>
      </c>
      <c r="C117" s="7" t="s">
        <v>964</v>
      </c>
      <c r="D117" s="8" t="s">
        <v>915</v>
      </c>
      <c r="E117" s="8" t="s">
        <v>965</v>
      </c>
      <c r="F117" s="8" t="s">
        <v>18</v>
      </c>
      <c r="G117" s="8" t="s">
        <v>195</v>
      </c>
      <c r="H117" s="15" t="s">
        <v>97</v>
      </c>
      <c r="I117" s="8" t="s">
        <v>966</v>
      </c>
      <c r="J117" s="8" t="s">
        <v>967</v>
      </c>
      <c r="K117" s="8" t="s">
        <v>968</v>
      </c>
      <c r="L117" s="8" t="s">
        <v>969</v>
      </c>
      <c r="M117" s="8" t="s">
        <v>970</v>
      </c>
    </row>
    <row r="118" customFormat="false" ht="45.75" hidden="false" customHeight="true" outlineLevel="0" collapsed="false">
      <c r="A118" s="10" t="n">
        <v>116</v>
      </c>
      <c r="B118" s="11" t="s">
        <v>971</v>
      </c>
      <c r="C118" s="12" t="s">
        <v>972</v>
      </c>
      <c r="D118" s="12" t="s">
        <v>973</v>
      </c>
      <c r="E118" s="13" t="s">
        <v>974</v>
      </c>
      <c r="F118" s="13" t="s">
        <v>18</v>
      </c>
      <c r="G118" s="13" t="s">
        <v>140</v>
      </c>
      <c r="H118" s="15" t="s">
        <v>97</v>
      </c>
      <c r="I118" s="13" t="s">
        <v>975</v>
      </c>
      <c r="J118" s="13" t="s">
        <v>976</v>
      </c>
      <c r="K118" s="13" t="s">
        <v>977</v>
      </c>
      <c r="L118" s="13" t="s">
        <v>978</v>
      </c>
      <c r="M118" s="13" t="s">
        <v>979</v>
      </c>
    </row>
    <row r="119" customFormat="false" ht="45.75" hidden="false" customHeight="true" outlineLevel="0" collapsed="false">
      <c r="A119" s="5" t="n">
        <v>117</v>
      </c>
      <c r="B119" s="6" t="s">
        <v>980</v>
      </c>
      <c r="C119" s="7" t="s">
        <v>981</v>
      </c>
      <c r="D119" s="8" t="s">
        <v>915</v>
      </c>
      <c r="E119" s="8" t="s">
        <v>982</v>
      </c>
      <c r="F119" s="8" t="s">
        <v>228</v>
      </c>
      <c r="G119" s="8" t="s">
        <v>149</v>
      </c>
      <c r="H119" s="15" t="s">
        <v>97</v>
      </c>
      <c r="I119" s="8" t="s">
        <v>983</v>
      </c>
      <c r="J119" s="8" t="s">
        <v>984</v>
      </c>
      <c r="K119" s="8" t="s">
        <v>985</v>
      </c>
      <c r="L119" s="8" t="s">
        <v>986</v>
      </c>
      <c r="M119" s="8" t="s">
        <v>987</v>
      </c>
    </row>
    <row r="120" customFormat="false" ht="45.75" hidden="false" customHeight="true" outlineLevel="0" collapsed="false">
      <c r="A120" s="10" t="n">
        <v>118</v>
      </c>
      <c r="B120" s="11" t="s">
        <v>988</v>
      </c>
      <c r="C120" s="12" t="s">
        <v>989</v>
      </c>
      <c r="D120" s="13" t="s">
        <v>915</v>
      </c>
      <c r="E120" s="13" t="s">
        <v>907</v>
      </c>
      <c r="F120" s="13" t="s">
        <v>228</v>
      </c>
      <c r="G120" s="13" t="s">
        <v>149</v>
      </c>
      <c r="H120" s="15" t="s">
        <v>97</v>
      </c>
      <c r="I120" s="13" t="s">
        <v>990</v>
      </c>
      <c r="J120" s="13" t="s">
        <v>991</v>
      </c>
      <c r="K120" s="13" t="s">
        <v>992</v>
      </c>
      <c r="L120" s="13" t="s">
        <v>993</v>
      </c>
      <c r="M120" s="13" t="s">
        <v>994</v>
      </c>
    </row>
    <row r="121" customFormat="false" ht="45.75" hidden="false" customHeight="true" outlineLevel="0" collapsed="false">
      <c r="A121" s="5" t="n">
        <v>119</v>
      </c>
      <c r="B121" s="6" t="s">
        <v>995</v>
      </c>
      <c r="C121" s="7" t="s">
        <v>996</v>
      </c>
      <c r="D121" s="8" t="s">
        <v>915</v>
      </c>
      <c r="E121" s="8" t="s">
        <v>997</v>
      </c>
      <c r="F121" s="8" t="s">
        <v>228</v>
      </c>
      <c r="G121" s="8" t="s">
        <v>149</v>
      </c>
      <c r="H121" s="15" t="s">
        <v>97</v>
      </c>
      <c r="I121" s="8" t="s">
        <v>998</v>
      </c>
      <c r="J121" s="8" t="s">
        <v>999</v>
      </c>
      <c r="K121" s="8" t="s">
        <v>1000</v>
      </c>
      <c r="L121" s="8" t="s">
        <v>1001</v>
      </c>
      <c r="M121" s="8" t="s">
        <v>1002</v>
      </c>
    </row>
    <row r="122" customFormat="false" ht="45.75" hidden="false" customHeight="true" outlineLevel="0" collapsed="false">
      <c r="A122" s="10" t="n">
        <v>120</v>
      </c>
      <c r="B122" s="11" t="s">
        <v>1003</v>
      </c>
      <c r="C122" s="12" t="s">
        <v>1004</v>
      </c>
      <c r="D122" s="13" t="s">
        <v>915</v>
      </c>
      <c r="E122" s="13" t="s">
        <v>1005</v>
      </c>
      <c r="F122" s="13" t="s">
        <v>228</v>
      </c>
      <c r="G122" s="13" t="s">
        <v>149</v>
      </c>
      <c r="H122" s="15" t="s">
        <v>97</v>
      </c>
      <c r="I122" s="13" t="s">
        <v>1006</v>
      </c>
      <c r="J122" s="13" t="s">
        <v>1007</v>
      </c>
      <c r="K122" s="13" t="s">
        <v>1008</v>
      </c>
      <c r="L122" s="13" t="s">
        <v>1009</v>
      </c>
      <c r="M122" s="13" t="s">
        <v>1010</v>
      </c>
    </row>
    <row r="123" customFormat="false" ht="45.75" hidden="false" customHeight="true" outlineLevel="0" collapsed="false">
      <c r="A123" s="5" t="n">
        <v>121</v>
      </c>
      <c r="B123" s="6" t="s">
        <v>1011</v>
      </c>
      <c r="C123" s="7" t="s">
        <v>1012</v>
      </c>
      <c r="D123" s="8" t="s">
        <v>915</v>
      </c>
      <c r="E123" s="8" t="s">
        <v>907</v>
      </c>
      <c r="F123" s="8" t="s">
        <v>228</v>
      </c>
      <c r="G123" s="8" t="s">
        <v>149</v>
      </c>
      <c r="H123" s="15" t="s">
        <v>97</v>
      </c>
      <c r="I123" s="8" t="s">
        <v>1013</v>
      </c>
      <c r="J123" s="8" t="s">
        <v>1014</v>
      </c>
      <c r="K123" s="8" t="s">
        <v>1015</v>
      </c>
      <c r="L123" s="8" t="s">
        <v>1016</v>
      </c>
      <c r="M123" s="8" t="s">
        <v>1017</v>
      </c>
    </row>
    <row r="124" customFormat="false" ht="45.75" hidden="false" customHeight="true" outlineLevel="0" collapsed="false">
      <c r="A124" s="10" t="n">
        <v>122</v>
      </c>
      <c r="B124" s="11" t="s">
        <v>1018</v>
      </c>
      <c r="C124" s="12" t="s">
        <v>1019</v>
      </c>
      <c r="D124" s="13" t="s">
        <v>915</v>
      </c>
      <c r="E124" s="13" t="s">
        <v>1020</v>
      </c>
      <c r="F124" s="13" t="s">
        <v>18</v>
      </c>
      <c r="G124" s="13" t="s">
        <v>195</v>
      </c>
      <c r="H124" s="15" t="s">
        <v>97</v>
      </c>
      <c r="I124" s="13" t="s">
        <v>1021</v>
      </c>
      <c r="J124" s="13" t="s">
        <v>1022</v>
      </c>
      <c r="K124" s="13" t="s">
        <v>1023</v>
      </c>
      <c r="L124" s="13" t="s">
        <v>1024</v>
      </c>
      <c r="M124" s="13" t="s">
        <v>1025</v>
      </c>
    </row>
    <row r="125" customFormat="false" ht="45.75" hidden="false" customHeight="true" outlineLevel="0" collapsed="false">
      <c r="A125" s="5" t="n">
        <v>123</v>
      </c>
      <c r="B125" s="6" t="s">
        <v>1026</v>
      </c>
      <c r="C125" s="7" t="s">
        <v>1027</v>
      </c>
      <c r="D125" s="8" t="s">
        <v>915</v>
      </c>
      <c r="E125" s="8" t="s">
        <v>1028</v>
      </c>
      <c r="F125" s="8" t="s">
        <v>18</v>
      </c>
      <c r="G125" s="8" t="s">
        <v>195</v>
      </c>
      <c r="H125" s="15" t="s">
        <v>97</v>
      </c>
      <c r="I125" s="8" t="s">
        <v>1029</v>
      </c>
      <c r="J125" s="8" t="s">
        <v>1030</v>
      </c>
      <c r="K125" s="8" t="s">
        <v>1031</v>
      </c>
      <c r="L125" s="8" t="s">
        <v>1032</v>
      </c>
      <c r="M125" s="8" t="s">
        <v>1033</v>
      </c>
    </row>
    <row r="126" customFormat="false" ht="45.75" hidden="false" customHeight="true" outlineLevel="0" collapsed="false">
      <c r="A126" s="10" t="n">
        <v>124</v>
      </c>
      <c r="B126" s="11" t="s">
        <v>1034</v>
      </c>
      <c r="C126" s="12" t="s">
        <v>1035</v>
      </c>
      <c r="D126" s="13" t="s">
        <v>915</v>
      </c>
      <c r="E126" s="13" t="s">
        <v>1036</v>
      </c>
      <c r="F126" s="13" t="s">
        <v>18</v>
      </c>
      <c r="G126" s="13" t="s">
        <v>195</v>
      </c>
      <c r="H126" s="15" t="s">
        <v>97</v>
      </c>
      <c r="I126" s="13" t="s">
        <v>1037</v>
      </c>
      <c r="J126" s="13" t="s">
        <v>1038</v>
      </c>
      <c r="K126" s="13" t="s">
        <v>1039</v>
      </c>
      <c r="L126" s="13" t="s">
        <v>1040</v>
      </c>
      <c r="M126" s="13" t="s">
        <v>1041</v>
      </c>
    </row>
    <row r="127" customFormat="false" ht="45.75" hidden="false" customHeight="true" outlineLevel="0" collapsed="false">
      <c r="A127" s="5" t="n">
        <v>125</v>
      </c>
      <c r="B127" s="6" t="s">
        <v>1042</v>
      </c>
      <c r="C127" s="7" t="s">
        <v>1043</v>
      </c>
      <c r="D127" s="8" t="s">
        <v>915</v>
      </c>
      <c r="E127" s="8" t="s">
        <v>1044</v>
      </c>
      <c r="F127" s="8" t="s">
        <v>18</v>
      </c>
      <c r="G127" s="8" t="s">
        <v>195</v>
      </c>
      <c r="H127" s="15" t="s">
        <v>97</v>
      </c>
      <c r="I127" s="8" t="s">
        <v>1045</v>
      </c>
      <c r="J127" s="8" t="s">
        <v>1046</v>
      </c>
      <c r="K127" s="8" t="s">
        <v>1047</v>
      </c>
      <c r="L127" s="8" t="s">
        <v>1048</v>
      </c>
      <c r="M127" s="8" t="s">
        <v>1049</v>
      </c>
    </row>
    <row r="128" customFormat="false" ht="45.75" hidden="false" customHeight="true" outlineLevel="0" collapsed="false">
      <c r="A128" s="10" t="n">
        <v>126</v>
      </c>
      <c r="B128" s="11" t="s">
        <v>1050</v>
      </c>
      <c r="C128" s="12" t="s">
        <v>1051</v>
      </c>
      <c r="D128" s="13" t="s">
        <v>915</v>
      </c>
      <c r="E128" s="13" t="s">
        <v>1052</v>
      </c>
      <c r="F128" s="13" t="s">
        <v>18</v>
      </c>
      <c r="G128" s="13" t="s">
        <v>140</v>
      </c>
      <c r="H128" s="15" t="s">
        <v>97</v>
      </c>
      <c r="I128" s="13" t="s">
        <v>1053</v>
      </c>
      <c r="J128" s="13" t="s">
        <v>1054</v>
      </c>
      <c r="K128" s="13" t="s">
        <v>1055</v>
      </c>
      <c r="L128" s="13" t="s">
        <v>1056</v>
      </c>
      <c r="M128" s="13" t="s">
        <v>1057</v>
      </c>
    </row>
    <row r="129" customFormat="false" ht="45.75" hidden="false" customHeight="true" outlineLevel="0" collapsed="false">
      <c r="A129" s="5" t="n">
        <v>127</v>
      </c>
      <c r="B129" s="6" t="s">
        <v>1058</v>
      </c>
      <c r="C129" s="7" t="s">
        <v>1059</v>
      </c>
      <c r="D129" s="8" t="s">
        <v>915</v>
      </c>
      <c r="E129" s="8" t="s">
        <v>1060</v>
      </c>
      <c r="F129" s="8" t="s">
        <v>18</v>
      </c>
      <c r="G129" s="8" t="s">
        <v>195</v>
      </c>
      <c r="H129" s="15" t="s">
        <v>97</v>
      </c>
      <c r="I129" s="8" t="s">
        <v>1061</v>
      </c>
      <c r="J129" s="8" t="s">
        <v>1062</v>
      </c>
      <c r="K129" s="8" t="s">
        <v>1063</v>
      </c>
      <c r="L129" s="8" t="s">
        <v>1064</v>
      </c>
      <c r="M129" s="8" t="s">
        <v>1065</v>
      </c>
    </row>
    <row r="130" customFormat="false" ht="45.75" hidden="false" customHeight="true" outlineLevel="0" collapsed="false">
      <c r="A130" s="10" t="n">
        <v>128</v>
      </c>
      <c r="B130" s="11" t="s">
        <v>1066</v>
      </c>
      <c r="C130" s="12" t="s">
        <v>1067</v>
      </c>
      <c r="D130" s="13" t="s">
        <v>915</v>
      </c>
      <c r="E130" s="13" t="s">
        <v>1068</v>
      </c>
      <c r="F130" s="13" t="s">
        <v>228</v>
      </c>
      <c r="G130" s="13" t="s">
        <v>19</v>
      </c>
      <c r="H130" s="15" t="s">
        <v>97</v>
      </c>
      <c r="I130" s="13" t="s">
        <v>1069</v>
      </c>
      <c r="J130" s="13" t="s">
        <v>1070</v>
      </c>
      <c r="K130" s="13" t="s">
        <v>1071</v>
      </c>
      <c r="L130" s="13" t="s">
        <v>1072</v>
      </c>
      <c r="M130" s="13" t="s">
        <v>1073</v>
      </c>
    </row>
    <row r="131" customFormat="false" ht="45.75" hidden="false" customHeight="true" outlineLevel="0" collapsed="false">
      <c r="A131" s="5" t="n">
        <v>129</v>
      </c>
      <c r="B131" s="6" t="s">
        <v>1074</v>
      </c>
      <c r="C131" s="7" t="s">
        <v>1075</v>
      </c>
      <c r="D131" s="8" t="s">
        <v>915</v>
      </c>
      <c r="E131" s="8" t="s">
        <v>1076</v>
      </c>
      <c r="F131" s="8" t="s">
        <v>18</v>
      </c>
      <c r="G131" s="8" t="s">
        <v>19</v>
      </c>
      <c r="H131" s="14" t="s">
        <v>46</v>
      </c>
      <c r="I131" s="8" t="s">
        <v>1077</v>
      </c>
      <c r="J131" s="8" t="s">
        <v>1078</v>
      </c>
      <c r="K131" s="8" t="s">
        <v>1079</v>
      </c>
      <c r="L131" s="8" t="s">
        <v>1080</v>
      </c>
      <c r="M131" s="8" t="s">
        <v>1081</v>
      </c>
    </row>
    <row r="132" customFormat="false" ht="45.75" hidden="false" customHeight="true" outlineLevel="0" collapsed="false">
      <c r="A132" s="10" t="n">
        <v>130</v>
      </c>
      <c r="B132" s="11" t="s">
        <v>1082</v>
      </c>
      <c r="C132" s="12" t="s">
        <v>1083</v>
      </c>
      <c r="D132" s="12" t="s">
        <v>1084</v>
      </c>
      <c r="E132" s="13" t="s">
        <v>1085</v>
      </c>
      <c r="F132" s="13" t="s">
        <v>18</v>
      </c>
      <c r="G132" s="13" t="s">
        <v>140</v>
      </c>
      <c r="H132" s="15" t="s">
        <v>97</v>
      </c>
      <c r="I132" s="13" t="s">
        <v>1086</v>
      </c>
      <c r="J132" s="13" t="s">
        <v>1087</v>
      </c>
      <c r="K132" s="13" t="s">
        <v>1088</v>
      </c>
      <c r="L132" s="13" t="s">
        <v>1089</v>
      </c>
      <c r="M132" s="13" t="s">
        <v>1090</v>
      </c>
    </row>
    <row r="133" customFormat="false" ht="45.75" hidden="false" customHeight="true" outlineLevel="0" collapsed="false">
      <c r="A133" s="5" t="n">
        <v>131</v>
      </c>
      <c r="B133" s="6" t="s">
        <v>1091</v>
      </c>
      <c r="C133" s="7" t="s">
        <v>1092</v>
      </c>
      <c r="D133" s="8" t="s">
        <v>915</v>
      </c>
      <c r="E133" s="8" t="s">
        <v>1093</v>
      </c>
      <c r="F133" s="8" t="s">
        <v>18</v>
      </c>
      <c r="G133" s="8" t="s">
        <v>195</v>
      </c>
      <c r="H133" s="15" t="s">
        <v>97</v>
      </c>
      <c r="I133" s="8" t="s">
        <v>1094</v>
      </c>
      <c r="J133" s="8" t="s">
        <v>1095</v>
      </c>
      <c r="K133" s="8" t="s">
        <v>1096</v>
      </c>
      <c r="L133" s="8" t="s">
        <v>1097</v>
      </c>
      <c r="M133" s="8" t="s">
        <v>1098</v>
      </c>
    </row>
    <row r="134" customFormat="false" ht="45.75" hidden="false" customHeight="true" outlineLevel="0" collapsed="false">
      <c r="A134" s="10" t="n">
        <v>132</v>
      </c>
      <c r="B134" s="11" t="s">
        <v>1099</v>
      </c>
      <c r="C134" s="12" t="s">
        <v>1100</v>
      </c>
      <c r="D134" s="13" t="s">
        <v>915</v>
      </c>
      <c r="E134" s="13" t="s">
        <v>1101</v>
      </c>
      <c r="F134" s="13" t="s">
        <v>228</v>
      </c>
      <c r="G134" s="13" t="s">
        <v>149</v>
      </c>
      <c r="H134" s="15" t="s">
        <v>97</v>
      </c>
      <c r="I134" s="13" t="s">
        <v>1102</v>
      </c>
      <c r="J134" s="13" t="s">
        <v>1103</v>
      </c>
      <c r="K134" s="13" t="s">
        <v>1104</v>
      </c>
      <c r="L134" s="13" t="s">
        <v>1105</v>
      </c>
      <c r="M134" s="13" t="s">
        <v>1106</v>
      </c>
    </row>
    <row r="135" customFormat="false" ht="45.75" hidden="false" customHeight="true" outlineLevel="0" collapsed="false">
      <c r="A135" s="5" t="n">
        <v>133</v>
      </c>
      <c r="B135" s="6" t="s">
        <v>1107</v>
      </c>
      <c r="C135" s="7" t="s">
        <v>1108</v>
      </c>
      <c r="D135" s="7" t="s">
        <v>1109</v>
      </c>
      <c r="E135" s="8" t="s">
        <v>924</v>
      </c>
      <c r="F135" s="8" t="s">
        <v>186</v>
      </c>
      <c r="G135" s="8" t="s">
        <v>168</v>
      </c>
      <c r="H135" s="16" t="s">
        <v>169</v>
      </c>
      <c r="I135" s="8" t="s">
        <v>1110</v>
      </c>
      <c r="J135" s="8" t="s">
        <v>1111</v>
      </c>
      <c r="K135" s="8" t="s">
        <v>1112</v>
      </c>
      <c r="L135" s="8" t="s">
        <v>1113</v>
      </c>
      <c r="M135" s="8" t="s">
        <v>1114</v>
      </c>
    </row>
    <row r="136" customFormat="false" ht="45.75" hidden="false" customHeight="true" outlineLevel="0" collapsed="false">
      <c r="A136" s="10" t="n">
        <v>134</v>
      </c>
      <c r="B136" s="11" t="s">
        <v>1115</v>
      </c>
      <c r="C136" s="12" t="s">
        <v>1116</v>
      </c>
      <c r="D136" s="13" t="s">
        <v>915</v>
      </c>
      <c r="E136" s="13" t="s">
        <v>1117</v>
      </c>
      <c r="F136" s="13" t="s">
        <v>228</v>
      </c>
      <c r="G136" s="13" t="s">
        <v>149</v>
      </c>
      <c r="H136" s="9" t="s">
        <v>20</v>
      </c>
      <c r="I136" s="13" t="s">
        <v>1118</v>
      </c>
      <c r="J136" s="13" t="s">
        <v>1119</v>
      </c>
      <c r="K136" s="13" t="s">
        <v>1120</v>
      </c>
      <c r="L136" s="13" t="s">
        <v>1121</v>
      </c>
      <c r="M136" s="13" t="s">
        <v>1122</v>
      </c>
    </row>
    <row r="137" customFormat="false" ht="45.75" hidden="false" customHeight="true" outlineLevel="0" collapsed="false">
      <c r="A137" s="5" t="n">
        <v>135</v>
      </c>
      <c r="B137" s="6" t="s">
        <v>1123</v>
      </c>
      <c r="C137" s="7" t="s">
        <v>1124</v>
      </c>
      <c r="D137" s="7" t="s">
        <v>1125</v>
      </c>
      <c r="E137" s="8" t="s">
        <v>1126</v>
      </c>
      <c r="F137" s="8" t="s">
        <v>228</v>
      </c>
      <c r="G137" s="8" t="s">
        <v>237</v>
      </c>
      <c r="H137" s="15" t="s">
        <v>97</v>
      </c>
      <c r="I137" s="8" t="s">
        <v>1127</v>
      </c>
      <c r="J137" s="8" t="s">
        <v>1128</v>
      </c>
      <c r="K137" s="8" t="s">
        <v>1129</v>
      </c>
      <c r="L137" s="8" t="s">
        <v>1130</v>
      </c>
      <c r="M137" s="8" t="s">
        <v>1131</v>
      </c>
    </row>
    <row r="138" customFormat="false" ht="45.75" hidden="false" customHeight="true" outlineLevel="0" collapsed="false">
      <c r="A138" s="10" t="n">
        <v>136</v>
      </c>
      <c r="B138" s="11" t="s">
        <v>1132</v>
      </c>
      <c r="C138" s="12" t="s">
        <v>1133</v>
      </c>
      <c r="D138" s="13" t="s">
        <v>915</v>
      </c>
      <c r="E138" s="13" t="s">
        <v>907</v>
      </c>
      <c r="F138" s="13" t="s">
        <v>228</v>
      </c>
      <c r="G138" s="13" t="s">
        <v>149</v>
      </c>
      <c r="H138" s="15" t="s">
        <v>97</v>
      </c>
      <c r="I138" s="13" t="s">
        <v>1134</v>
      </c>
      <c r="J138" s="13" t="s">
        <v>1135</v>
      </c>
      <c r="K138" s="13" t="s">
        <v>1136</v>
      </c>
      <c r="L138" s="13" t="s">
        <v>1137</v>
      </c>
      <c r="M138" s="13" t="s">
        <v>1138</v>
      </c>
    </row>
    <row r="139" customFormat="false" ht="45.75" hidden="false" customHeight="true" outlineLevel="0" collapsed="false">
      <c r="A139" s="5" t="n">
        <v>137</v>
      </c>
      <c r="B139" s="6" t="s">
        <v>1139</v>
      </c>
      <c r="C139" s="7" t="s">
        <v>1140</v>
      </c>
      <c r="D139" s="8" t="s">
        <v>915</v>
      </c>
      <c r="E139" s="8" t="s">
        <v>1141</v>
      </c>
      <c r="F139" s="8" t="s">
        <v>18</v>
      </c>
      <c r="G139" s="8" t="s">
        <v>140</v>
      </c>
      <c r="H139" s="15" t="s">
        <v>97</v>
      </c>
      <c r="I139" s="8" t="s">
        <v>1142</v>
      </c>
      <c r="J139" s="8" t="s">
        <v>1143</v>
      </c>
      <c r="K139" s="8" t="s">
        <v>1144</v>
      </c>
      <c r="L139" s="8" t="s">
        <v>1145</v>
      </c>
      <c r="M139" s="8" t="s">
        <v>1146</v>
      </c>
    </row>
    <row r="140" customFormat="false" ht="45.75" hidden="false" customHeight="true" outlineLevel="0" collapsed="false">
      <c r="A140" s="10" t="n">
        <v>138</v>
      </c>
      <c r="B140" s="11" t="s">
        <v>1147</v>
      </c>
      <c r="C140" s="12" t="s">
        <v>1148</v>
      </c>
      <c r="D140" s="13" t="s">
        <v>915</v>
      </c>
      <c r="E140" s="13" t="s">
        <v>122</v>
      </c>
      <c r="F140" s="13" t="s">
        <v>54</v>
      </c>
      <c r="G140" s="13" t="s">
        <v>19</v>
      </c>
      <c r="H140" s="14" t="s">
        <v>46</v>
      </c>
      <c r="I140" s="13" t="s">
        <v>1149</v>
      </c>
      <c r="J140" s="13" t="s">
        <v>1150</v>
      </c>
      <c r="K140" s="13" t="s">
        <v>1151</v>
      </c>
      <c r="L140" s="13" t="s">
        <v>1152</v>
      </c>
      <c r="M140" s="13" t="s">
        <v>1153</v>
      </c>
    </row>
    <row r="141" customFormat="false" ht="45.75" hidden="false" customHeight="true" outlineLevel="0" collapsed="false">
      <c r="A141" s="5" t="n">
        <v>139</v>
      </c>
      <c r="B141" s="6" t="s">
        <v>1154</v>
      </c>
      <c r="C141" s="7" t="s">
        <v>1155</v>
      </c>
      <c r="D141" s="8" t="s">
        <v>915</v>
      </c>
      <c r="E141" s="8" t="s">
        <v>1156</v>
      </c>
      <c r="F141" s="8" t="s">
        <v>18</v>
      </c>
      <c r="G141" s="8" t="s">
        <v>140</v>
      </c>
      <c r="H141" s="15" t="s">
        <v>97</v>
      </c>
      <c r="I141" s="8" t="s">
        <v>1157</v>
      </c>
      <c r="J141" s="8" t="s">
        <v>1158</v>
      </c>
      <c r="K141" s="8" t="s">
        <v>1159</v>
      </c>
      <c r="L141" s="8" t="s">
        <v>1160</v>
      </c>
      <c r="M141" s="8" t="s">
        <v>1161</v>
      </c>
    </row>
    <row r="142" customFormat="false" ht="45.75" hidden="false" customHeight="true" outlineLevel="0" collapsed="false">
      <c r="A142" s="10" t="n">
        <v>140</v>
      </c>
      <c r="B142" s="11" t="s">
        <v>1162</v>
      </c>
      <c r="C142" s="12" t="s">
        <v>1163</v>
      </c>
      <c r="D142" s="12" t="s">
        <v>1164</v>
      </c>
      <c r="E142" s="13" t="s">
        <v>1101</v>
      </c>
      <c r="F142" s="13" t="s">
        <v>228</v>
      </c>
      <c r="G142" s="13" t="s">
        <v>149</v>
      </c>
      <c r="H142" s="15" t="s">
        <v>97</v>
      </c>
      <c r="I142" s="13" t="s">
        <v>1165</v>
      </c>
      <c r="J142" s="13" t="s">
        <v>1166</v>
      </c>
      <c r="K142" s="13" t="s">
        <v>1167</v>
      </c>
      <c r="L142" s="13" t="s">
        <v>1168</v>
      </c>
      <c r="M142" s="13" t="s">
        <v>1169</v>
      </c>
    </row>
    <row r="143" customFormat="false" ht="45.75" hidden="false" customHeight="true" outlineLevel="0" collapsed="false">
      <c r="A143" s="5" t="n">
        <v>141</v>
      </c>
      <c r="B143" s="6" t="s">
        <v>1170</v>
      </c>
      <c r="C143" s="7" t="s">
        <v>1171</v>
      </c>
      <c r="D143" s="8" t="s">
        <v>915</v>
      </c>
      <c r="E143" s="8" t="s">
        <v>1172</v>
      </c>
      <c r="F143" s="8" t="s">
        <v>18</v>
      </c>
      <c r="G143" s="8" t="s">
        <v>195</v>
      </c>
      <c r="H143" s="15" t="s">
        <v>97</v>
      </c>
      <c r="I143" s="8" t="s">
        <v>1173</v>
      </c>
      <c r="J143" s="8" t="s">
        <v>1174</v>
      </c>
      <c r="K143" s="8" t="s">
        <v>1175</v>
      </c>
      <c r="L143" s="8" t="s">
        <v>1176</v>
      </c>
      <c r="M143" s="8" t="s">
        <v>1177</v>
      </c>
    </row>
    <row r="144" customFormat="false" ht="45.75" hidden="false" customHeight="true" outlineLevel="0" collapsed="false">
      <c r="A144" s="10" t="n">
        <v>142</v>
      </c>
      <c r="B144" s="11" t="s">
        <v>1178</v>
      </c>
      <c r="C144" s="12" t="s">
        <v>1179</v>
      </c>
      <c r="D144" s="13" t="s">
        <v>915</v>
      </c>
      <c r="E144" s="13" t="s">
        <v>907</v>
      </c>
      <c r="F144" s="13" t="s">
        <v>228</v>
      </c>
      <c r="G144" s="13" t="s">
        <v>149</v>
      </c>
      <c r="H144" s="15" t="s">
        <v>97</v>
      </c>
      <c r="I144" s="13" t="s">
        <v>1180</v>
      </c>
      <c r="J144" s="13" t="s">
        <v>1181</v>
      </c>
      <c r="K144" s="13" t="s">
        <v>1182</v>
      </c>
      <c r="L144" s="13" t="s">
        <v>1183</v>
      </c>
      <c r="M144" s="13" t="s">
        <v>1184</v>
      </c>
    </row>
    <row r="145" customFormat="false" ht="45.75" hidden="false" customHeight="true" outlineLevel="0" collapsed="false">
      <c r="A145" s="5" t="n">
        <v>143</v>
      </c>
      <c r="B145" s="6" t="s">
        <v>1185</v>
      </c>
      <c r="C145" s="7" t="s">
        <v>1186</v>
      </c>
      <c r="D145" s="8" t="s">
        <v>915</v>
      </c>
      <c r="E145" s="8" t="s">
        <v>1187</v>
      </c>
      <c r="F145" s="8" t="s">
        <v>18</v>
      </c>
      <c r="G145" s="8" t="s">
        <v>195</v>
      </c>
      <c r="H145" s="15" t="s">
        <v>97</v>
      </c>
      <c r="I145" s="8" t="s">
        <v>1188</v>
      </c>
      <c r="J145" s="8" t="s">
        <v>1189</v>
      </c>
      <c r="K145" s="8" t="s">
        <v>1190</v>
      </c>
      <c r="L145" s="8" t="s">
        <v>1191</v>
      </c>
      <c r="M145" s="8" t="s">
        <v>1192</v>
      </c>
    </row>
    <row r="146" customFormat="false" ht="45.75" hidden="false" customHeight="true" outlineLevel="0" collapsed="false">
      <c r="A146" s="10" t="n">
        <v>144</v>
      </c>
      <c r="B146" s="11" t="s">
        <v>1193</v>
      </c>
      <c r="C146" s="12" t="s">
        <v>1194</v>
      </c>
      <c r="D146" s="13" t="s">
        <v>915</v>
      </c>
      <c r="E146" s="13" t="s">
        <v>1195</v>
      </c>
      <c r="F146" s="13" t="s">
        <v>18</v>
      </c>
      <c r="G146" s="13" t="s">
        <v>195</v>
      </c>
      <c r="H146" s="15" t="s">
        <v>97</v>
      </c>
      <c r="I146" s="13" t="s">
        <v>1196</v>
      </c>
      <c r="J146" s="13" t="s">
        <v>1197</v>
      </c>
      <c r="K146" s="13" t="s">
        <v>1198</v>
      </c>
      <c r="L146" s="13" t="s">
        <v>1199</v>
      </c>
      <c r="M146" s="13" t="s">
        <v>1200</v>
      </c>
    </row>
    <row r="147" customFormat="false" ht="45.75" hidden="false" customHeight="true" outlineLevel="0" collapsed="false">
      <c r="A147" s="5" t="n">
        <v>145</v>
      </c>
      <c r="B147" s="6" t="s">
        <v>1201</v>
      </c>
      <c r="C147" s="7" t="s">
        <v>1202</v>
      </c>
      <c r="D147" s="8" t="s">
        <v>915</v>
      </c>
      <c r="E147" s="8" t="s">
        <v>1203</v>
      </c>
      <c r="F147" s="8" t="s">
        <v>18</v>
      </c>
      <c r="G147" s="8" t="s">
        <v>140</v>
      </c>
      <c r="H147" s="15" t="s">
        <v>97</v>
      </c>
      <c r="I147" s="8" t="s">
        <v>1204</v>
      </c>
      <c r="J147" s="8" t="s">
        <v>1205</v>
      </c>
      <c r="K147" s="8" t="s">
        <v>1206</v>
      </c>
      <c r="L147" s="8" t="s">
        <v>1207</v>
      </c>
      <c r="M147" s="8" t="s">
        <v>1208</v>
      </c>
    </row>
    <row r="148" customFormat="false" ht="45.75" hidden="false" customHeight="true" outlineLevel="0" collapsed="false">
      <c r="A148" s="10" t="n">
        <v>146</v>
      </c>
      <c r="B148" s="11" t="s">
        <v>1209</v>
      </c>
      <c r="C148" s="12" t="s">
        <v>1210</v>
      </c>
      <c r="D148" s="13" t="s">
        <v>915</v>
      </c>
      <c r="E148" s="13" t="s">
        <v>1203</v>
      </c>
      <c r="F148" s="13" t="s">
        <v>18</v>
      </c>
      <c r="G148" s="13" t="s">
        <v>140</v>
      </c>
      <c r="H148" s="15" t="s">
        <v>97</v>
      </c>
      <c r="I148" s="13" t="s">
        <v>1211</v>
      </c>
      <c r="J148" s="13" t="s">
        <v>1212</v>
      </c>
      <c r="K148" s="13" t="s">
        <v>1213</v>
      </c>
      <c r="L148" s="13" t="s">
        <v>1214</v>
      </c>
      <c r="M148" s="13" t="s">
        <v>1215</v>
      </c>
    </row>
    <row r="149" customFormat="false" ht="45.75" hidden="false" customHeight="true" outlineLevel="0" collapsed="false">
      <c r="A149" s="5" t="n">
        <v>147</v>
      </c>
      <c r="B149" s="6" t="s">
        <v>1216</v>
      </c>
      <c r="C149" s="7" t="s">
        <v>1217</v>
      </c>
      <c r="D149" s="8" t="s">
        <v>915</v>
      </c>
      <c r="E149" s="8" t="s">
        <v>1218</v>
      </c>
      <c r="F149" s="8" t="s">
        <v>18</v>
      </c>
      <c r="G149" s="8" t="s">
        <v>195</v>
      </c>
      <c r="H149" s="15" t="s">
        <v>97</v>
      </c>
      <c r="I149" s="8" t="s">
        <v>1219</v>
      </c>
      <c r="J149" s="8" t="s">
        <v>1220</v>
      </c>
      <c r="K149" s="8" t="s">
        <v>1221</v>
      </c>
      <c r="L149" s="8" t="s">
        <v>1222</v>
      </c>
      <c r="M149" s="8" t="s">
        <v>1223</v>
      </c>
    </row>
    <row r="150" customFormat="false" ht="45.75" hidden="false" customHeight="true" outlineLevel="0" collapsed="false">
      <c r="A150" s="10" t="n">
        <v>148</v>
      </c>
      <c r="B150" s="11" t="s">
        <v>1224</v>
      </c>
      <c r="C150" s="12" t="s">
        <v>1225</v>
      </c>
      <c r="D150" s="13" t="s">
        <v>915</v>
      </c>
      <c r="E150" s="13" t="s">
        <v>1226</v>
      </c>
      <c r="F150" s="13" t="s">
        <v>228</v>
      </c>
      <c r="G150" s="13" t="s">
        <v>149</v>
      </c>
      <c r="H150" s="9" t="s">
        <v>20</v>
      </c>
      <c r="I150" s="13" t="s">
        <v>1227</v>
      </c>
      <c r="J150" s="13" t="s">
        <v>1228</v>
      </c>
      <c r="K150" s="13" t="s">
        <v>1229</v>
      </c>
      <c r="L150" s="13" t="s">
        <v>1230</v>
      </c>
      <c r="M150" s="13" t="s">
        <v>1231</v>
      </c>
    </row>
    <row r="151" customFormat="false" ht="45.75" hidden="false" customHeight="true" outlineLevel="0" collapsed="false">
      <c r="A151" s="5" t="n">
        <v>149</v>
      </c>
      <c r="B151" s="6" t="s">
        <v>1232</v>
      </c>
      <c r="C151" s="7" t="s">
        <v>1233</v>
      </c>
      <c r="D151" s="8" t="s">
        <v>915</v>
      </c>
      <c r="E151" s="8" t="s">
        <v>1234</v>
      </c>
      <c r="F151" s="8" t="s">
        <v>228</v>
      </c>
      <c r="G151" s="8" t="s">
        <v>149</v>
      </c>
      <c r="H151" s="15" t="s">
        <v>97</v>
      </c>
      <c r="I151" s="8" t="s">
        <v>1235</v>
      </c>
      <c r="J151" s="8" t="s">
        <v>1236</v>
      </c>
      <c r="K151" s="8" t="s">
        <v>1237</v>
      </c>
      <c r="L151" s="8" t="s">
        <v>1238</v>
      </c>
      <c r="M151" s="8" t="s">
        <v>1239</v>
      </c>
    </row>
    <row r="152" customFormat="false" ht="45.75" hidden="false" customHeight="true" outlineLevel="0" collapsed="false">
      <c r="A152" s="10" t="n">
        <v>150</v>
      </c>
      <c r="B152" s="11" t="s">
        <v>1240</v>
      </c>
      <c r="C152" s="12" t="s">
        <v>1241</v>
      </c>
      <c r="D152" s="13" t="s">
        <v>915</v>
      </c>
      <c r="E152" s="13" t="s">
        <v>1242</v>
      </c>
      <c r="F152" s="13" t="s">
        <v>228</v>
      </c>
      <c r="G152" s="13" t="s">
        <v>149</v>
      </c>
      <c r="H152" s="15" t="s">
        <v>97</v>
      </c>
      <c r="I152" s="13" t="s">
        <v>1243</v>
      </c>
      <c r="J152" s="13" t="s">
        <v>1244</v>
      </c>
      <c r="K152" s="13" t="s">
        <v>1245</v>
      </c>
      <c r="L152" s="13" t="s">
        <v>1246</v>
      </c>
      <c r="M152" s="13" t="s">
        <v>1247</v>
      </c>
    </row>
    <row r="153" customFormat="false" ht="45.75" hidden="false" customHeight="true" outlineLevel="0" collapsed="false">
      <c r="A153" s="5" t="n">
        <v>151</v>
      </c>
      <c r="B153" s="6" t="s">
        <v>1248</v>
      </c>
      <c r="C153" s="7" t="s">
        <v>1249</v>
      </c>
      <c r="D153" s="8" t="s">
        <v>915</v>
      </c>
      <c r="E153" s="8" t="s">
        <v>1250</v>
      </c>
      <c r="F153" s="8" t="s">
        <v>228</v>
      </c>
      <c r="G153" s="8" t="s">
        <v>149</v>
      </c>
      <c r="H153" s="15" t="s">
        <v>97</v>
      </c>
      <c r="I153" s="8" t="s">
        <v>1251</v>
      </c>
      <c r="J153" s="8" t="s">
        <v>1252</v>
      </c>
      <c r="K153" s="8" t="s">
        <v>1253</v>
      </c>
      <c r="L153" s="8" t="s">
        <v>1254</v>
      </c>
      <c r="M153" s="8" t="s">
        <v>1255</v>
      </c>
    </row>
    <row r="154" customFormat="false" ht="45.75" hidden="false" customHeight="true" outlineLevel="0" collapsed="false">
      <c r="A154" s="10" t="n">
        <v>152</v>
      </c>
      <c r="B154" s="11" t="s">
        <v>1256</v>
      </c>
      <c r="C154" s="12" t="s">
        <v>1257</v>
      </c>
      <c r="D154" s="13" t="s">
        <v>915</v>
      </c>
      <c r="E154" s="13" t="s">
        <v>1258</v>
      </c>
      <c r="F154" s="13" t="s">
        <v>228</v>
      </c>
      <c r="G154" s="13" t="s">
        <v>149</v>
      </c>
      <c r="H154" s="15" t="s">
        <v>97</v>
      </c>
      <c r="I154" s="13" t="s">
        <v>1259</v>
      </c>
      <c r="J154" s="13" t="s">
        <v>1260</v>
      </c>
      <c r="K154" s="13" t="s">
        <v>1261</v>
      </c>
      <c r="L154" s="13" t="s">
        <v>1262</v>
      </c>
      <c r="M154" s="13" t="s">
        <v>1263</v>
      </c>
    </row>
    <row r="155" customFormat="false" ht="45.75" hidden="false" customHeight="true" outlineLevel="0" collapsed="false">
      <c r="A155" s="5" t="n">
        <v>153</v>
      </c>
      <c r="B155" s="6" t="s">
        <v>1264</v>
      </c>
      <c r="C155" s="7" t="s">
        <v>1265</v>
      </c>
      <c r="D155" s="8" t="s">
        <v>915</v>
      </c>
      <c r="E155" s="8" t="s">
        <v>1266</v>
      </c>
      <c r="F155" s="8" t="s">
        <v>18</v>
      </c>
      <c r="G155" s="8" t="s">
        <v>195</v>
      </c>
      <c r="H155" s="15" t="s">
        <v>97</v>
      </c>
      <c r="I155" s="8" t="s">
        <v>1267</v>
      </c>
      <c r="J155" s="8" t="s">
        <v>1268</v>
      </c>
      <c r="K155" s="8" t="s">
        <v>1269</v>
      </c>
      <c r="L155" s="8" t="s">
        <v>1270</v>
      </c>
      <c r="M155" s="8" t="s">
        <v>1271</v>
      </c>
    </row>
    <row r="156" customFormat="false" ht="45.75" hidden="false" customHeight="true" outlineLevel="0" collapsed="false">
      <c r="A156" s="10" t="n">
        <v>154</v>
      </c>
      <c r="B156" s="11" t="s">
        <v>1272</v>
      </c>
      <c r="C156" s="12" t="s">
        <v>1273</v>
      </c>
      <c r="D156" s="13" t="s">
        <v>915</v>
      </c>
      <c r="E156" s="13" t="s">
        <v>1274</v>
      </c>
      <c r="F156" s="13" t="s">
        <v>228</v>
      </c>
      <c r="G156" s="13" t="s">
        <v>149</v>
      </c>
      <c r="H156" s="9" t="s">
        <v>20</v>
      </c>
      <c r="I156" s="13" t="s">
        <v>1275</v>
      </c>
      <c r="J156" s="13" t="s">
        <v>1276</v>
      </c>
      <c r="K156" s="13" t="s">
        <v>1277</v>
      </c>
      <c r="L156" s="13" t="s">
        <v>1278</v>
      </c>
      <c r="M156" s="13" t="s">
        <v>1279</v>
      </c>
    </row>
    <row r="157" customFormat="false" ht="45.75" hidden="false" customHeight="true" outlineLevel="0" collapsed="false">
      <c r="A157" s="5" t="n">
        <v>155</v>
      </c>
      <c r="B157" s="6" t="s">
        <v>1280</v>
      </c>
      <c r="C157" s="7" t="s">
        <v>1281</v>
      </c>
      <c r="D157" s="7" t="s">
        <v>1282</v>
      </c>
      <c r="E157" s="8" t="s">
        <v>804</v>
      </c>
      <c r="F157" s="8" t="s">
        <v>228</v>
      </c>
      <c r="G157" s="8" t="s">
        <v>149</v>
      </c>
      <c r="H157" s="9" t="s">
        <v>20</v>
      </c>
      <c r="I157" s="8" t="s">
        <v>1283</v>
      </c>
      <c r="J157" s="8" t="s">
        <v>1284</v>
      </c>
      <c r="K157" s="8" t="s">
        <v>1285</v>
      </c>
      <c r="L157" s="8" t="s">
        <v>1286</v>
      </c>
      <c r="M157" s="8" t="s">
        <v>1287</v>
      </c>
    </row>
    <row r="158" customFormat="false" ht="45.75" hidden="false" customHeight="true" outlineLevel="0" collapsed="false">
      <c r="A158" s="10" t="n">
        <v>156</v>
      </c>
      <c r="B158" s="11" t="s">
        <v>1288</v>
      </c>
      <c r="C158" s="12" t="s">
        <v>1289</v>
      </c>
      <c r="D158" s="13" t="s">
        <v>915</v>
      </c>
      <c r="E158" s="13" t="s">
        <v>804</v>
      </c>
      <c r="F158" s="13" t="s">
        <v>228</v>
      </c>
      <c r="G158" s="13" t="s">
        <v>149</v>
      </c>
      <c r="H158" s="9" t="s">
        <v>20</v>
      </c>
      <c r="I158" s="13" t="s">
        <v>1290</v>
      </c>
      <c r="J158" s="13" t="s">
        <v>1291</v>
      </c>
      <c r="K158" s="13" t="s">
        <v>1292</v>
      </c>
      <c r="L158" s="13" t="s">
        <v>1293</v>
      </c>
      <c r="M158" s="13" t="s">
        <v>1294</v>
      </c>
    </row>
    <row r="159" customFormat="false" ht="45.75" hidden="false" customHeight="true" outlineLevel="0" collapsed="false">
      <c r="A159" s="5" t="n">
        <v>157</v>
      </c>
      <c r="B159" s="6" t="s">
        <v>1295</v>
      </c>
      <c r="C159" s="7" t="s">
        <v>1296</v>
      </c>
      <c r="D159" s="8" t="s">
        <v>915</v>
      </c>
      <c r="E159" s="8" t="s">
        <v>1297</v>
      </c>
      <c r="F159" s="8" t="s">
        <v>18</v>
      </c>
      <c r="G159" s="8" t="s">
        <v>195</v>
      </c>
      <c r="H159" s="15" t="s">
        <v>97</v>
      </c>
      <c r="I159" s="8" t="s">
        <v>1298</v>
      </c>
      <c r="J159" s="8" t="s">
        <v>1299</v>
      </c>
      <c r="K159" s="8" t="s">
        <v>1300</v>
      </c>
      <c r="L159" s="8" t="s">
        <v>1301</v>
      </c>
      <c r="M159" s="8" t="s">
        <v>1302</v>
      </c>
    </row>
    <row r="160" customFormat="false" ht="45.75" hidden="false" customHeight="true" outlineLevel="0" collapsed="false">
      <c r="A160" s="10" t="n">
        <v>158</v>
      </c>
      <c r="B160" s="11" t="s">
        <v>1303</v>
      </c>
      <c r="C160" s="12" t="s">
        <v>1304</v>
      </c>
      <c r="D160" s="12" t="s">
        <v>1305</v>
      </c>
      <c r="E160" s="13" t="s">
        <v>942</v>
      </c>
      <c r="F160" s="13" t="s">
        <v>228</v>
      </c>
      <c r="G160" s="13" t="s">
        <v>149</v>
      </c>
      <c r="H160" s="9" t="s">
        <v>20</v>
      </c>
      <c r="I160" s="13" t="s">
        <v>1306</v>
      </c>
      <c r="J160" s="13" t="s">
        <v>1307</v>
      </c>
      <c r="K160" s="13" t="s">
        <v>1308</v>
      </c>
      <c r="L160" s="13" t="s">
        <v>1309</v>
      </c>
      <c r="M160" s="13" t="s">
        <v>1310</v>
      </c>
    </row>
    <row r="161" customFormat="false" ht="45.75" hidden="false" customHeight="true" outlineLevel="0" collapsed="false">
      <c r="A161" s="5" t="n">
        <v>159</v>
      </c>
      <c r="B161" s="6" t="s">
        <v>1311</v>
      </c>
      <c r="C161" s="7" t="s">
        <v>1312</v>
      </c>
      <c r="D161" s="8" t="s">
        <v>915</v>
      </c>
      <c r="E161" s="8" t="s">
        <v>1068</v>
      </c>
      <c r="F161" s="8" t="s">
        <v>228</v>
      </c>
      <c r="G161" s="8" t="s">
        <v>19</v>
      </c>
      <c r="H161" s="15" t="s">
        <v>97</v>
      </c>
      <c r="I161" s="8" t="s">
        <v>1313</v>
      </c>
      <c r="J161" s="8" t="s">
        <v>1314</v>
      </c>
      <c r="K161" s="8" t="s">
        <v>1315</v>
      </c>
      <c r="L161" s="8" t="s">
        <v>1316</v>
      </c>
      <c r="M161" s="8" t="s">
        <v>1317</v>
      </c>
    </row>
    <row r="162" customFormat="false" ht="45.75" hidden="false" customHeight="true" outlineLevel="0" collapsed="false">
      <c r="A162" s="10" t="n">
        <v>160</v>
      </c>
      <c r="B162" s="11" t="s">
        <v>1318</v>
      </c>
      <c r="C162" s="12" t="s">
        <v>1319</v>
      </c>
      <c r="D162" s="13" t="s">
        <v>915</v>
      </c>
      <c r="E162" s="13" t="s">
        <v>1320</v>
      </c>
      <c r="F162" s="13" t="s">
        <v>18</v>
      </c>
      <c r="G162" s="13" t="s">
        <v>195</v>
      </c>
      <c r="H162" s="15" t="s">
        <v>97</v>
      </c>
      <c r="I162" s="13" t="s">
        <v>1321</v>
      </c>
      <c r="J162" s="13" t="s">
        <v>1322</v>
      </c>
      <c r="K162" s="13" t="s">
        <v>1323</v>
      </c>
      <c r="L162" s="13" t="s">
        <v>1324</v>
      </c>
      <c r="M162" s="13" t="s">
        <v>1325</v>
      </c>
    </row>
    <row r="163" customFormat="false" ht="45.75" hidden="false" customHeight="true" outlineLevel="0" collapsed="false">
      <c r="A163" s="5" t="n">
        <v>161</v>
      </c>
      <c r="B163" s="6" t="s">
        <v>1326</v>
      </c>
      <c r="C163" s="7" t="s">
        <v>1327</v>
      </c>
      <c r="D163" s="7" t="s">
        <v>1328</v>
      </c>
      <c r="E163" s="8" t="s">
        <v>1329</v>
      </c>
      <c r="F163" s="8" t="s">
        <v>37</v>
      </c>
      <c r="G163" s="8" t="s">
        <v>19</v>
      </c>
      <c r="H163" s="9" t="s">
        <v>20</v>
      </c>
      <c r="I163" s="8" t="s">
        <v>1330</v>
      </c>
      <c r="J163" s="8" t="s">
        <v>1331</v>
      </c>
      <c r="K163" s="8" t="s">
        <v>1332</v>
      </c>
      <c r="L163" s="8" t="s">
        <v>1333</v>
      </c>
      <c r="M163" s="8" t="s">
        <v>1334</v>
      </c>
    </row>
    <row r="164" customFormat="false" ht="45.75" hidden="false" customHeight="true" outlineLevel="0" collapsed="false">
      <c r="A164" s="10" t="n">
        <v>162</v>
      </c>
      <c r="B164" s="11" t="s">
        <v>1335</v>
      </c>
      <c r="C164" s="12" t="s">
        <v>1336</v>
      </c>
      <c r="D164" s="13" t="s">
        <v>915</v>
      </c>
      <c r="E164" s="13" t="s">
        <v>1337</v>
      </c>
      <c r="F164" s="13" t="s">
        <v>186</v>
      </c>
      <c r="G164" s="13" t="s">
        <v>195</v>
      </c>
      <c r="H164" s="15" t="s">
        <v>97</v>
      </c>
      <c r="I164" s="13" t="s">
        <v>1338</v>
      </c>
      <c r="J164" s="13" t="s">
        <v>1339</v>
      </c>
      <c r="K164" s="13" t="s">
        <v>1340</v>
      </c>
      <c r="L164" s="13" t="s">
        <v>1341</v>
      </c>
      <c r="M164" s="13" t="s">
        <v>1342</v>
      </c>
    </row>
    <row r="165" customFormat="false" ht="45.75" hidden="false" customHeight="true" outlineLevel="0" collapsed="false">
      <c r="A165" s="5" t="n">
        <v>163</v>
      </c>
      <c r="B165" s="6" t="s">
        <v>1343</v>
      </c>
      <c r="C165" s="7" t="s">
        <v>1344</v>
      </c>
      <c r="D165" s="7" t="s">
        <v>1345</v>
      </c>
      <c r="E165" s="8" t="s">
        <v>924</v>
      </c>
      <c r="F165" s="8" t="s">
        <v>228</v>
      </c>
      <c r="G165" s="8" t="s">
        <v>149</v>
      </c>
      <c r="H165" s="9" t="s">
        <v>20</v>
      </c>
      <c r="I165" s="8" t="s">
        <v>1346</v>
      </c>
      <c r="J165" s="8" t="s">
        <v>1347</v>
      </c>
      <c r="K165" s="8" t="s">
        <v>1348</v>
      </c>
      <c r="L165" s="8" t="s">
        <v>1349</v>
      </c>
      <c r="M165" s="8" t="s">
        <v>1350</v>
      </c>
    </row>
    <row r="166" customFormat="false" ht="45.75" hidden="false" customHeight="true" outlineLevel="0" collapsed="false">
      <c r="A166" s="10" t="n">
        <v>164</v>
      </c>
      <c r="B166" s="11" t="s">
        <v>1351</v>
      </c>
      <c r="C166" s="12" t="s">
        <v>1352</v>
      </c>
      <c r="D166" s="13" t="s">
        <v>915</v>
      </c>
      <c r="E166" s="13" t="s">
        <v>1353</v>
      </c>
      <c r="F166" s="13" t="s">
        <v>54</v>
      </c>
      <c r="G166" s="13" t="s">
        <v>19</v>
      </c>
      <c r="H166" s="14" t="s">
        <v>46</v>
      </c>
      <c r="I166" s="13" t="s">
        <v>1354</v>
      </c>
      <c r="J166" s="13" t="s">
        <v>1355</v>
      </c>
      <c r="K166" s="13" t="s">
        <v>1356</v>
      </c>
      <c r="L166" s="13" t="s">
        <v>1357</v>
      </c>
      <c r="M166" s="13" t="s">
        <v>1358</v>
      </c>
    </row>
    <row r="167" customFormat="false" ht="45.75" hidden="false" customHeight="true" outlineLevel="0" collapsed="false">
      <c r="A167" s="5" t="n">
        <v>165</v>
      </c>
      <c r="B167" s="6" t="s">
        <v>1359</v>
      </c>
      <c r="C167" s="7" t="s">
        <v>1360</v>
      </c>
      <c r="D167" s="7" t="s">
        <v>1361</v>
      </c>
      <c r="E167" s="8" t="s">
        <v>924</v>
      </c>
      <c r="F167" s="8" t="s">
        <v>228</v>
      </c>
      <c r="G167" s="8" t="s">
        <v>149</v>
      </c>
      <c r="H167" s="9" t="s">
        <v>20</v>
      </c>
      <c r="I167" s="8" t="s">
        <v>1362</v>
      </c>
      <c r="J167" s="8" t="s">
        <v>1363</v>
      </c>
      <c r="K167" s="8" t="s">
        <v>1364</v>
      </c>
      <c r="L167" s="8" t="s">
        <v>1365</v>
      </c>
      <c r="M167" s="8" t="s">
        <v>1366</v>
      </c>
    </row>
    <row r="168" customFormat="false" ht="45.75" hidden="false" customHeight="true" outlineLevel="0" collapsed="false">
      <c r="A168" s="10" t="n">
        <v>166</v>
      </c>
      <c r="B168" s="11" t="s">
        <v>1367</v>
      </c>
      <c r="C168" s="12" t="s">
        <v>1368</v>
      </c>
      <c r="D168" s="13" t="s">
        <v>915</v>
      </c>
      <c r="E168" s="13" t="s">
        <v>1369</v>
      </c>
      <c r="F168" s="13" t="s">
        <v>186</v>
      </c>
      <c r="G168" s="13" t="s">
        <v>195</v>
      </c>
      <c r="H168" s="15" t="s">
        <v>97</v>
      </c>
      <c r="I168" s="13" t="s">
        <v>1370</v>
      </c>
      <c r="J168" s="13" t="s">
        <v>1371</v>
      </c>
      <c r="K168" s="13" t="s">
        <v>1372</v>
      </c>
      <c r="L168" s="13" t="s">
        <v>1373</v>
      </c>
      <c r="M168" s="13" t="s">
        <v>1374</v>
      </c>
    </row>
    <row r="169" customFormat="false" ht="45.75" hidden="false" customHeight="true" outlineLevel="0" collapsed="false">
      <c r="A169" s="5" t="n">
        <v>167</v>
      </c>
      <c r="B169" s="6" t="s">
        <v>1375</v>
      </c>
      <c r="C169" s="7" t="s">
        <v>1376</v>
      </c>
      <c r="D169" s="8" t="s">
        <v>915</v>
      </c>
      <c r="E169" s="8" t="s">
        <v>1377</v>
      </c>
      <c r="F169" s="8" t="s">
        <v>228</v>
      </c>
      <c r="G169" s="8" t="s">
        <v>149</v>
      </c>
      <c r="H169" s="9" t="s">
        <v>20</v>
      </c>
      <c r="I169" s="8" t="s">
        <v>1378</v>
      </c>
      <c r="J169" s="8" t="s">
        <v>1379</v>
      </c>
      <c r="K169" s="8" t="s">
        <v>1380</v>
      </c>
      <c r="L169" s="8" t="s">
        <v>1381</v>
      </c>
      <c r="M169" s="8" t="s">
        <v>1382</v>
      </c>
    </row>
    <row r="170" customFormat="false" ht="45.75" hidden="false" customHeight="true" outlineLevel="0" collapsed="false">
      <c r="A170" s="10" t="n">
        <v>168</v>
      </c>
      <c r="B170" s="11" t="s">
        <v>1383</v>
      </c>
      <c r="C170" s="12" t="s">
        <v>1384</v>
      </c>
      <c r="D170" s="13" t="s">
        <v>915</v>
      </c>
      <c r="E170" s="13" t="s">
        <v>1385</v>
      </c>
      <c r="F170" s="13" t="s">
        <v>228</v>
      </c>
      <c r="G170" s="13" t="s">
        <v>149</v>
      </c>
      <c r="H170" s="15" t="s">
        <v>97</v>
      </c>
      <c r="I170" s="13" t="s">
        <v>1386</v>
      </c>
      <c r="J170" s="13" t="s">
        <v>1387</v>
      </c>
      <c r="K170" s="13" t="s">
        <v>1388</v>
      </c>
      <c r="L170" s="13" t="s">
        <v>1389</v>
      </c>
      <c r="M170" s="13" t="s">
        <v>1390</v>
      </c>
    </row>
    <row r="171" customFormat="false" ht="45.75" hidden="false" customHeight="true" outlineLevel="0" collapsed="false">
      <c r="A171" s="5" t="n">
        <v>169</v>
      </c>
      <c r="B171" s="6" t="s">
        <v>1391</v>
      </c>
      <c r="C171" s="7" t="s">
        <v>1392</v>
      </c>
      <c r="D171" s="7" t="s">
        <v>1393</v>
      </c>
      <c r="E171" s="8" t="s">
        <v>1329</v>
      </c>
      <c r="F171" s="8" t="s">
        <v>37</v>
      </c>
      <c r="G171" s="8" t="s">
        <v>19</v>
      </c>
      <c r="H171" s="9" t="s">
        <v>20</v>
      </c>
      <c r="I171" s="8" t="s">
        <v>1394</v>
      </c>
      <c r="J171" s="8" t="s">
        <v>1395</v>
      </c>
      <c r="K171" s="8" t="s">
        <v>1396</v>
      </c>
      <c r="L171" s="8" t="s">
        <v>1397</v>
      </c>
      <c r="M171" s="8" t="s">
        <v>1398</v>
      </c>
    </row>
    <row r="172" customFormat="false" ht="45.75" hidden="false" customHeight="true" outlineLevel="0" collapsed="false">
      <c r="A172" s="10" t="n">
        <v>170</v>
      </c>
      <c r="B172" s="11" t="s">
        <v>1399</v>
      </c>
      <c r="C172" s="12" t="s">
        <v>1400</v>
      </c>
      <c r="D172" s="13" t="s">
        <v>915</v>
      </c>
      <c r="E172" s="13" t="s">
        <v>1401</v>
      </c>
      <c r="F172" s="13" t="s">
        <v>18</v>
      </c>
      <c r="G172" s="13" t="s">
        <v>195</v>
      </c>
      <c r="H172" s="15" t="s">
        <v>97</v>
      </c>
      <c r="I172" s="13" t="s">
        <v>1402</v>
      </c>
      <c r="J172" s="13" t="s">
        <v>1403</v>
      </c>
      <c r="K172" s="13" t="s">
        <v>1404</v>
      </c>
      <c r="L172" s="13" t="s">
        <v>1405</v>
      </c>
      <c r="M172" s="13" t="s">
        <v>1406</v>
      </c>
    </row>
    <row r="173" customFormat="false" ht="45.75" hidden="false" customHeight="true" outlineLevel="0" collapsed="false">
      <c r="A173" s="5" t="n">
        <v>171</v>
      </c>
      <c r="B173" s="6" t="s">
        <v>1407</v>
      </c>
      <c r="C173" s="7" t="s">
        <v>1408</v>
      </c>
      <c r="D173" s="8" t="s">
        <v>915</v>
      </c>
      <c r="E173" s="8" t="s">
        <v>924</v>
      </c>
      <c r="F173" s="8" t="s">
        <v>18</v>
      </c>
      <c r="G173" s="8" t="s">
        <v>140</v>
      </c>
      <c r="H173" s="15" t="s">
        <v>97</v>
      </c>
      <c r="I173" s="8" t="s">
        <v>1409</v>
      </c>
      <c r="J173" s="8" t="s">
        <v>1410</v>
      </c>
      <c r="K173" s="8" t="s">
        <v>1411</v>
      </c>
      <c r="L173" s="8" t="s">
        <v>1412</v>
      </c>
      <c r="M173" s="8" t="s">
        <v>1413</v>
      </c>
    </row>
    <row r="174" customFormat="false" ht="45.75" hidden="false" customHeight="true" outlineLevel="0" collapsed="false">
      <c r="A174" s="10" t="n">
        <v>172</v>
      </c>
      <c r="B174" s="11" t="s">
        <v>1414</v>
      </c>
      <c r="C174" s="12" t="s">
        <v>1415</v>
      </c>
      <c r="D174" s="13" t="s">
        <v>915</v>
      </c>
      <c r="E174" s="13" t="s">
        <v>1416</v>
      </c>
      <c r="F174" s="13" t="s">
        <v>228</v>
      </c>
      <c r="G174" s="13" t="s">
        <v>149</v>
      </c>
      <c r="H174" s="15" t="s">
        <v>97</v>
      </c>
      <c r="I174" s="13" t="s">
        <v>1417</v>
      </c>
      <c r="J174" s="13" t="s">
        <v>1418</v>
      </c>
      <c r="K174" s="13" t="s">
        <v>1419</v>
      </c>
      <c r="L174" s="13" t="s">
        <v>1420</v>
      </c>
      <c r="M174" s="13" t="s">
        <v>1421</v>
      </c>
    </row>
    <row r="175" customFormat="false" ht="45.75" hidden="false" customHeight="true" outlineLevel="0" collapsed="false">
      <c r="A175" s="5" t="n">
        <v>173</v>
      </c>
      <c r="B175" s="6" t="s">
        <v>1422</v>
      </c>
      <c r="C175" s="7" t="s">
        <v>1423</v>
      </c>
      <c r="D175" s="8" t="s">
        <v>915</v>
      </c>
      <c r="E175" s="8" t="s">
        <v>1424</v>
      </c>
      <c r="F175" s="8" t="s">
        <v>228</v>
      </c>
      <c r="G175" s="8" t="s">
        <v>149</v>
      </c>
      <c r="H175" s="9" t="s">
        <v>20</v>
      </c>
      <c r="I175" s="8" t="s">
        <v>1425</v>
      </c>
      <c r="J175" s="8" t="s">
        <v>1426</v>
      </c>
      <c r="K175" s="8" t="s">
        <v>1427</v>
      </c>
      <c r="L175" s="8" t="s">
        <v>1428</v>
      </c>
      <c r="M175" s="8" t="s">
        <v>1429</v>
      </c>
    </row>
    <row r="176" customFormat="false" ht="45.75" hidden="false" customHeight="true" outlineLevel="0" collapsed="false">
      <c r="A176" s="10" t="n">
        <v>174</v>
      </c>
      <c r="B176" s="11" t="s">
        <v>1430</v>
      </c>
      <c r="C176" s="12" t="s">
        <v>1431</v>
      </c>
      <c r="D176" s="13" t="s">
        <v>915</v>
      </c>
      <c r="E176" s="13" t="s">
        <v>1432</v>
      </c>
      <c r="F176" s="13" t="s">
        <v>228</v>
      </c>
      <c r="G176" s="13" t="s">
        <v>149</v>
      </c>
      <c r="H176" s="15" t="s">
        <v>97</v>
      </c>
      <c r="I176" s="13" t="s">
        <v>1433</v>
      </c>
      <c r="J176" s="13" t="s">
        <v>1434</v>
      </c>
      <c r="K176" s="13" t="s">
        <v>1435</v>
      </c>
      <c r="L176" s="13" t="s">
        <v>1436</v>
      </c>
      <c r="M176" s="13" t="s">
        <v>1437</v>
      </c>
    </row>
    <row r="177" customFormat="false" ht="45.75" hidden="false" customHeight="true" outlineLevel="0" collapsed="false">
      <c r="A177" s="5" t="n">
        <v>175</v>
      </c>
      <c r="B177" s="6" t="s">
        <v>1438</v>
      </c>
      <c r="C177" s="7" t="s">
        <v>1439</v>
      </c>
      <c r="D177" s="8" t="s">
        <v>915</v>
      </c>
      <c r="E177" s="8" t="s">
        <v>1440</v>
      </c>
      <c r="F177" s="8" t="s">
        <v>228</v>
      </c>
      <c r="G177" s="8" t="s">
        <v>149</v>
      </c>
      <c r="H177" s="15" t="s">
        <v>97</v>
      </c>
      <c r="I177" s="8" t="s">
        <v>1441</v>
      </c>
      <c r="J177" s="8" t="s">
        <v>1442</v>
      </c>
      <c r="K177" s="8" t="s">
        <v>1443</v>
      </c>
      <c r="L177" s="8" t="s">
        <v>1444</v>
      </c>
      <c r="M177" s="8" t="s">
        <v>1445</v>
      </c>
    </row>
    <row r="178" customFormat="false" ht="45.75" hidden="false" customHeight="true" outlineLevel="0" collapsed="false">
      <c r="A178" s="10" t="n">
        <v>176</v>
      </c>
      <c r="B178" s="11" t="s">
        <v>1446</v>
      </c>
      <c r="C178" s="12" t="s">
        <v>1447</v>
      </c>
      <c r="D178" s="12" t="s">
        <v>1448</v>
      </c>
      <c r="E178" s="13" t="s">
        <v>1449</v>
      </c>
      <c r="F178" s="13" t="s">
        <v>18</v>
      </c>
      <c r="G178" s="13" t="s">
        <v>195</v>
      </c>
      <c r="H178" s="15" t="s">
        <v>97</v>
      </c>
      <c r="I178" s="13" t="s">
        <v>1450</v>
      </c>
      <c r="J178" s="13" t="s">
        <v>1451</v>
      </c>
      <c r="K178" s="13" t="s">
        <v>1452</v>
      </c>
      <c r="L178" s="13" t="s">
        <v>1453</v>
      </c>
      <c r="M178" s="13" t="s">
        <v>1454</v>
      </c>
    </row>
    <row r="179" customFormat="false" ht="45.75" hidden="false" customHeight="true" outlineLevel="0" collapsed="false">
      <c r="A179" s="5" t="n">
        <v>177</v>
      </c>
      <c r="B179" s="6" t="s">
        <v>1455</v>
      </c>
      <c r="C179" s="7" t="s">
        <v>1456</v>
      </c>
      <c r="D179" s="8" t="s">
        <v>915</v>
      </c>
      <c r="E179" s="8" t="s">
        <v>1457</v>
      </c>
      <c r="F179" s="8" t="s">
        <v>228</v>
      </c>
      <c r="G179" s="8" t="s">
        <v>149</v>
      </c>
      <c r="H179" s="15" t="s">
        <v>97</v>
      </c>
      <c r="I179" s="8" t="s">
        <v>1458</v>
      </c>
      <c r="J179" s="8" t="s">
        <v>1459</v>
      </c>
      <c r="K179" s="8" t="s">
        <v>1460</v>
      </c>
      <c r="L179" s="8" t="s">
        <v>1461</v>
      </c>
      <c r="M179" s="8" t="s">
        <v>1462</v>
      </c>
    </row>
    <row r="180" customFormat="false" ht="45.75" hidden="false" customHeight="true" outlineLevel="0" collapsed="false">
      <c r="A180" s="10" t="n">
        <v>178</v>
      </c>
      <c r="B180" s="11" t="s">
        <v>1463</v>
      </c>
      <c r="C180" s="12" t="s">
        <v>1464</v>
      </c>
      <c r="D180" s="13" t="s">
        <v>915</v>
      </c>
      <c r="E180" s="13" t="s">
        <v>1465</v>
      </c>
      <c r="F180" s="13" t="s">
        <v>18</v>
      </c>
      <c r="G180" s="13" t="s">
        <v>195</v>
      </c>
      <c r="H180" s="15" t="s">
        <v>97</v>
      </c>
      <c r="I180" s="13" t="s">
        <v>1466</v>
      </c>
      <c r="J180" s="13" t="s">
        <v>1467</v>
      </c>
      <c r="K180" s="13" t="s">
        <v>1468</v>
      </c>
      <c r="L180" s="13" t="s">
        <v>1469</v>
      </c>
      <c r="M180" s="13" t="s">
        <v>1470</v>
      </c>
    </row>
    <row r="181" customFormat="false" ht="45.75" hidden="false" customHeight="true" outlineLevel="0" collapsed="false">
      <c r="A181" s="5" t="n">
        <v>179</v>
      </c>
      <c r="B181" s="6" t="s">
        <v>1471</v>
      </c>
      <c r="C181" s="7" t="s">
        <v>1472</v>
      </c>
      <c r="D181" s="8" t="s">
        <v>915</v>
      </c>
      <c r="E181" s="8" t="s">
        <v>1473</v>
      </c>
      <c r="F181" s="8" t="s">
        <v>18</v>
      </c>
      <c r="G181" s="8" t="s">
        <v>140</v>
      </c>
      <c r="H181" s="15" t="s">
        <v>97</v>
      </c>
      <c r="I181" s="8" t="s">
        <v>1474</v>
      </c>
      <c r="J181" s="8" t="s">
        <v>1475</v>
      </c>
      <c r="K181" s="8" t="s">
        <v>1476</v>
      </c>
      <c r="L181" s="8" t="s">
        <v>1477</v>
      </c>
      <c r="M181" s="8" t="s">
        <v>1478</v>
      </c>
    </row>
    <row r="182" customFormat="false" ht="45.75" hidden="false" customHeight="true" outlineLevel="0" collapsed="false">
      <c r="A182" s="10" t="n">
        <v>180</v>
      </c>
      <c r="B182" s="11" t="s">
        <v>1479</v>
      </c>
      <c r="C182" s="12" t="s">
        <v>1480</v>
      </c>
      <c r="D182" s="13" t="s">
        <v>915</v>
      </c>
      <c r="E182" s="13" t="s">
        <v>1481</v>
      </c>
      <c r="F182" s="13" t="s">
        <v>228</v>
      </c>
      <c r="G182" s="13" t="s">
        <v>149</v>
      </c>
      <c r="H182" s="15" t="s">
        <v>97</v>
      </c>
      <c r="I182" s="13" t="s">
        <v>1482</v>
      </c>
      <c r="J182" s="13" t="s">
        <v>1483</v>
      </c>
      <c r="K182" s="13" t="s">
        <v>1484</v>
      </c>
      <c r="L182" s="13" t="s">
        <v>1485</v>
      </c>
      <c r="M182" s="13" t="s">
        <v>1486</v>
      </c>
    </row>
    <row r="183" customFormat="false" ht="45.75" hidden="false" customHeight="true" outlineLevel="0" collapsed="false">
      <c r="A183" s="5" t="n">
        <v>181</v>
      </c>
      <c r="B183" s="6" t="s">
        <v>1487</v>
      </c>
      <c r="C183" s="7" t="s">
        <v>1488</v>
      </c>
      <c r="D183" s="7" t="s">
        <v>1489</v>
      </c>
      <c r="E183" s="8" t="s">
        <v>804</v>
      </c>
      <c r="F183" s="8" t="s">
        <v>228</v>
      </c>
      <c r="G183" s="8" t="s">
        <v>149</v>
      </c>
      <c r="H183" s="9" t="s">
        <v>20</v>
      </c>
      <c r="I183" s="8" t="s">
        <v>1490</v>
      </c>
      <c r="J183" s="8" t="s">
        <v>1491</v>
      </c>
      <c r="K183" s="8" t="s">
        <v>1492</v>
      </c>
      <c r="L183" s="8" t="s">
        <v>1493</v>
      </c>
      <c r="M183" s="8" t="s">
        <v>1494</v>
      </c>
    </row>
    <row r="184" customFormat="false" ht="45.75" hidden="false" customHeight="true" outlineLevel="0" collapsed="false">
      <c r="A184" s="10" t="n">
        <v>182</v>
      </c>
      <c r="B184" s="11" t="s">
        <v>1495</v>
      </c>
      <c r="C184" s="12" t="s">
        <v>1496</v>
      </c>
      <c r="D184" s="13" t="s">
        <v>1497</v>
      </c>
      <c r="E184" s="13" t="s">
        <v>1498</v>
      </c>
      <c r="F184" s="13" t="s">
        <v>228</v>
      </c>
      <c r="G184" s="13" t="s">
        <v>149</v>
      </c>
      <c r="H184" s="15" t="s">
        <v>97</v>
      </c>
      <c r="I184" s="13" t="s">
        <v>1499</v>
      </c>
      <c r="J184" s="13" t="s">
        <v>1500</v>
      </c>
      <c r="K184" s="13" t="s">
        <v>1501</v>
      </c>
      <c r="L184" s="13" t="s">
        <v>1502</v>
      </c>
      <c r="M184" s="13" t="s">
        <v>1503</v>
      </c>
    </row>
    <row r="185" customFormat="false" ht="45.75" hidden="false" customHeight="true" outlineLevel="0" collapsed="false">
      <c r="A185" s="5" t="n">
        <v>183</v>
      </c>
      <c r="B185" s="6" t="s">
        <v>1504</v>
      </c>
      <c r="C185" s="7" t="s">
        <v>1505</v>
      </c>
      <c r="D185" s="8" t="s">
        <v>1497</v>
      </c>
      <c r="E185" s="8" t="s">
        <v>1506</v>
      </c>
      <c r="F185" s="8" t="s">
        <v>18</v>
      </c>
      <c r="G185" s="8" t="s">
        <v>140</v>
      </c>
      <c r="H185" s="15" t="s">
        <v>97</v>
      </c>
      <c r="I185" s="8" t="s">
        <v>1507</v>
      </c>
      <c r="J185" s="8" t="s">
        <v>1508</v>
      </c>
      <c r="K185" s="8" t="s">
        <v>1509</v>
      </c>
      <c r="L185" s="8" t="s">
        <v>1510</v>
      </c>
      <c r="M185" s="8" t="s">
        <v>1511</v>
      </c>
    </row>
    <row r="186" customFormat="false" ht="45.75" hidden="false" customHeight="true" outlineLevel="0" collapsed="false">
      <c r="A186" s="10" t="n">
        <v>184</v>
      </c>
      <c r="B186" s="11" t="s">
        <v>1512</v>
      </c>
      <c r="C186" s="12" t="s">
        <v>1513</v>
      </c>
      <c r="D186" s="12" t="s">
        <v>1514</v>
      </c>
      <c r="E186" s="13" t="s">
        <v>1515</v>
      </c>
      <c r="F186" s="13" t="s">
        <v>228</v>
      </c>
      <c r="G186" s="13" t="s">
        <v>149</v>
      </c>
      <c r="H186" s="9" t="s">
        <v>20</v>
      </c>
      <c r="I186" s="13" t="s">
        <v>1516</v>
      </c>
      <c r="J186" s="13" t="s">
        <v>1517</v>
      </c>
      <c r="K186" s="13" t="s">
        <v>1518</v>
      </c>
      <c r="L186" s="13" t="s">
        <v>1519</v>
      </c>
      <c r="M186" s="13" t="s">
        <v>1520</v>
      </c>
    </row>
    <row r="187" customFormat="false" ht="45.75" hidden="false" customHeight="true" outlineLevel="0" collapsed="false">
      <c r="A187" s="5" t="n">
        <v>185</v>
      </c>
      <c r="B187" s="6" t="s">
        <v>1521</v>
      </c>
      <c r="C187" s="7" t="s">
        <v>1522</v>
      </c>
      <c r="D187" s="7" t="s">
        <v>1523</v>
      </c>
      <c r="E187" s="8" t="s">
        <v>1524</v>
      </c>
      <c r="F187" s="8" t="s">
        <v>18</v>
      </c>
      <c r="G187" s="8" t="s">
        <v>195</v>
      </c>
      <c r="H187" s="15" t="s">
        <v>97</v>
      </c>
      <c r="I187" s="8" t="s">
        <v>1525</v>
      </c>
      <c r="J187" s="8" t="s">
        <v>1526</v>
      </c>
      <c r="K187" s="8" t="s">
        <v>1527</v>
      </c>
      <c r="L187" s="8" t="s">
        <v>1528</v>
      </c>
      <c r="M187" s="8" t="s">
        <v>1529</v>
      </c>
    </row>
    <row r="188" customFormat="false" ht="45.75" hidden="false" customHeight="true" outlineLevel="0" collapsed="false">
      <c r="A188" s="10" t="n">
        <v>186</v>
      </c>
      <c r="B188" s="11" t="s">
        <v>1530</v>
      </c>
      <c r="C188" s="12" t="s">
        <v>1531</v>
      </c>
      <c r="D188" s="12" t="s">
        <v>1532</v>
      </c>
      <c r="E188" s="13" t="s">
        <v>1533</v>
      </c>
      <c r="F188" s="13" t="s">
        <v>18</v>
      </c>
      <c r="G188" s="13" t="s">
        <v>140</v>
      </c>
      <c r="H188" s="15" t="s">
        <v>97</v>
      </c>
      <c r="I188" s="13" t="s">
        <v>1534</v>
      </c>
      <c r="J188" s="13" t="s">
        <v>1535</v>
      </c>
      <c r="K188" s="13" t="s">
        <v>1536</v>
      </c>
      <c r="L188" s="13" t="s">
        <v>1537</v>
      </c>
      <c r="M188" s="13" t="s">
        <v>1538</v>
      </c>
    </row>
    <row r="189" customFormat="false" ht="45.75" hidden="false" customHeight="true" outlineLevel="0" collapsed="false">
      <c r="A189" s="5" t="n">
        <v>187</v>
      </c>
      <c r="B189" s="6" t="s">
        <v>1539</v>
      </c>
      <c r="C189" s="7" t="s">
        <v>1540</v>
      </c>
      <c r="D189" s="7" t="s">
        <v>1541</v>
      </c>
      <c r="E189" s="8" t="s">
        <v>1542</v>
      </c>
      <c r="F189" s="8" t="s">
        <v>18</v>
      </c>
      <c r="G189" s="8" t="s">
        <v>195</v>
      </c>
      <c r="H189" s="15" t="s">
        <v>97</v>
      </c>
      <c r="I189" s="8" t="s">
        <v>1543</v>
      </c>
      <c r="J189" s="8" t="s">
        <v>1544</v>
      </c>
      <c r="K189" s="8" t="s">
        <v>1545</v>
      </c>
      <c r="L189" s="8" t="s">
        <v>1546</v>
      </c>
      <c r="M189" s="8" t="s">
        <v>1547</v>
      </c>
    </row>
    <row r="190" customFormat="false" ht="45.75" hidden="false" customHeight="true" outlineLevel="0" collapsed="false">
      <c r="A190" s="10" t="n">
        <v>188</v>
      </c>
      <c r="B190" s="11" t="s">
        <v>1548</v>
      </c>
      <c r="C190" s="12" t="s">
        <v>1549</v>
      </c>
      <c r="D190" s="12" t="s">
        <v>1550</v>
      </c>
      <c r="E190" s="13" t="s">
        <v>1551</v>
      </c>
      <c r="F190" s="13" t="s">
        <v>18</v>
      </c>
      <c r="G190" s="13" t="s">
        <v>140</v>
      </c>
      <c r="H190" s="15" t="s">
        <v>97</v>
      </c>
      <c r="I190" s="13" t="s">
        <v>1552</v>
      </c>
      <c r="J190" s="13" t="s">
        <v>1553</v>
      </c>
      <c r="K190" s="13" t="s">
        <v>1554</v>
      </c>
      <c r="L190" s="13" t="s">
        <v>1555</v>
      </c>
      <c r="M190" s="13" t="s">
        <v>1556</v>
      </c>
    </row>
    <row r="191" customFormat="false" ht="45.75" hidden="false" customHeight="true" outlineLevel="0" collapsed="false">
      <c r="A191" s="5" t="n">
        <v>189</v>
      </c>
      <c r="B191" s="6" t="s">
        <v>1557</v>
      </c>
      <c r="C191" s="7" t="s">
        <v>1558</v>
      </c>
      <c r="D191" s="8" t="s">
        <v>1559</v>
      </c>
      <c r="E191" s="8" t="s">
        <v>1560</v>
      </c>
      <c r="F191" s="8" t="s">
        <v>228</v>
      </c>
      <c r="G191" s="8" t="s">
        <v>149</v>
      </c>
      <c r="H191" s="9" t="s">
        <v>20</v>
      </c>
      <c r="I191" s="8" t="s">
        <v>1561</v>
      </c>
      <c r="J191" s="8" t="s">
        <v>1562</v>
      </c>
      <c r="K191" s="8" t="s">
        <v>1563</v>
      </c>
      <c r="L191" s="8" t="s">
        <v>1564</v>
      </c>
      <c r="M191" s="8" t="s">
        <v>1565</v>
      </c>
    </row>
    <row r="192" customFormat="false" ht="45.75" hidden="false" customHeight="true" outlineLevel="0" collapsed="false">
      <c r="A192" s="10" t="n">
        <v>190</v>
      </c>
      <c r="B192" s="11" t="s">
        <v>1566</v>
      </c>
      <c r="C192" s="12" t="s">
        <v>1567</v>
      </c>
      <c r="D192" s="12" t="s">
        <v>1568</v>
      </c>
      <c r="E192" s="13" t="s">
        <v>1569</v>
      </c>
      <c r="F192" s="13" t="s">
        <v>18</v>
      </c>
      <c r="G192" s="13" t="s">
        <v>140</v>
      </c>
      <c r="H192" s="15" t="s">
        <v>97</v>
      </c>
      <c r="I192" s="13" t="s">
        <v>1570</v>
      </c>
      <c r="J192" s="13" t="s">
        <v>1571</v>
      </c>
      <c r="K192" s="13" t="s">
        <v>1572</v>
      </c>
      <c r="L192" s="13" t="s">
        <v>1573</v>
      </c>
      <c r="M192" s="13" t="s">
        <v>1574</v>
      </c>
    </row>
    <row r="193" customFormat="false" ht="45.75" hidden="false" customHeight="true" outlineLevel="0" collapsed="false">
      <c r="A193" s="5" t="n">
        <v>191</v>
      </c>
      <c r="B193" s="6" t="s">
        <v>1575</v>
      </c>
      <c r="C193" s="7" t="s">
        <v>1576</v>
      </c>
      <c r="D193" s="7" t="s">
        <v>1577</v>
      </c>
      <c r="E193" s="8" t="s">
        <v>1578</v>
      </c>
      <c r="F193" s="8" t="s">
        <v>186</v>
      </c>
      <c r="G193" s="8" t="s">
        <v>237</v>
      </c>
      <c r="H193" s="16" t="s">
        <v>169</v>
      </c>
      <c r="I193" s="8" t="s">
        <v>1579</v>
      </c>
      <c r="J193" s="8" t="s">
        <v>1580</v>
      </c>
      <c r="K193" s="8" t="s">
        <v>1581</v>
      </c>
      <c r="L193" s="8" t="s">
        <v>1582</v>
      </c>
      <c r="M193" s="8" t="s">
        <v>1583</v>
      </c>
    </row>
    <row r="194" customFormat="false" ht="45.75" hidden="false" customHeight="true" outlineLevel="0" collapsed="false">
      <c r="A194" s="10" t="n">
        <v>192</v>
      </c>
      <c r="B194" s="11" t="s">
        <v>1584</v>
      </c>
      <c r="C194" s="12" t="s">
        <v>1585</v>
      </c>
      <c r="D194" s="12" t="s">
        <v>1586</v>
      </c>
      <c r="E194" s="13" t="s">
        <v>1587</v>
      </c>
      <c r="F194" s="13" t="s">
        <v>18</v>
      </c>
      <c r="G194" s="13" t="s">
        <v>195</v>
      </c>
      <c r="H194" s="15" t="s">
        <v>97</v>
      </c>
      <c r="I194" s="13" t="s">
        <v>1588</v>
      </c>
      <c r="J194" s="13" t="s">
        <v>1589</v>
      </c>
      <c r="K194" s="13" t="s">
        <v>1590</v>
      </c>
      <c r="L194" s="13" t="s">
        <v>1591</v>
      </c>
      <c r="M194" s="13" t="s">
        <v>1592</v>
      </c>
    </row>
    <row r="195" customFormat="false" ht="45.75" hidden="false" customHeight="true" outlineLevel="0" collapsed="false">
      <c r="A195" s="5" t="n">
        <v>193</v>
      </c>
      <c r="B195" s="6" t="s">
        <v>1593</v>
      </c>
      <c r="C195" s="7" t="s">
        <v>1594</v>
      </c>
      <c r="D195" s="7" t="s">
        <v>1595</v>
      </c>
      <c r="E195" s="8" t="s">
        <v>1578</v>
      </c>
      <c r="F195" s="8" t="s">
        <v>186</v>
      </c>
      <c r="G195" s="8" t="s">
        <v>237</v>
      </c>
      <c r="H195" s="16" t="s">
        <v>169</v>
      </c>
      <c r="I195" s="8" t="s">
        <v>1596</v>
      </c>
      <c r="J195" s="8" t="s">
        <v>1597</v>
      </c>
      <c r="K195" s="8" t="s">
        <v>1598</v>
      </c>
      <c r="L195" s="8" t="s">
        <v>1599</v>
      </c>
      <c r="M195" s="8" t="s">
        <v>1600</v>
      </c>
    </row>
    <row r="196" customFormat="false" ht="45.75" hidden="false" customHeight="true" outlineLevel="0" collapsed="false">
      <c r="A196" s="10" t="n">
        <v>194</v>
      </c>
      <c r="B196" s="11" t="s">
        <v>1601</v>
      </c>
      <c r="C196" s="12" t="s">
        <v>1602</v>
      </c>
      <c r="D196" s="12" t="s">
        <v>1603</v>
      </c>
      <c r="E196" s="13" t="s">
        <v>1604</v>
      </c>
      <c r="F196" s="13" t="s">
        <v>228</v>
      </c>
      <c r="G196" s="13" t="s">
        <v>149</v>
      </c>
      <c r="H196" s="15" t="s">
        <v>97</v>
      </c>
      <c r="I196" s="13" t="s">
        <v>1605</v>
      </c>
      <c r="J196" s="13" t="s">
        <v>1606</v>
      </c>
      <c r="K196" s="13" t="s">
        <v>1607</v>
      </c>
      <c r="L196" s="13" t="s">
        <v>1608</v>
      </c>
      <c r="M196" s="13" t="s">
        <v>1609</v>
      </c>
    </row>
    <row r="197" customFormat="false" ht="45.75" hidden="false" customHeight="true" outlineLevel="0" collapsed="false">
      <c r="A197" s="5" t="n">
        <v>195</v>
      </c>
      <c r="B197" s="6" t="s">
        <v>1610</v>
      </c>
      <c r="C197" s="7" t="s">
        <v>1611</v>
      </c>
      <c r="D197" s="7" t="s">
        <v>1612</v>
      </c>
      <c r="E197" s="8" t="s">
        <v>1613</v>
      </c>
      <c r="F197" s="8" t="s">
        <v>228</v>
      </c>
      <c r="G197" s="8" t="s">
        <v>149</v>
      </c>
      <c r="H197" s="9" t="s">
        <v>20</v>
      </c>
      <c r="I197" s="8" t="s">
        <v>1614</v>
      </c>
      <c r="J197" s="8" t="s">
        <v>1615</v>
      </c>
      <c r="K197" s="8" t="s">
        <v>1616</v>
      </c>
      <c r="L197" s="8" t="s">
        <v>1617</v>
      </c>
      <c r="M197" s="8" t="s">
        <v>1618</v>
      </c>
    </row>
    <row r="198" customFormat="false" ht="45.75" hidden="false" customHeight="true" outlineLevel="0" collapsed="false">
      <c r="A198" s="10" t="n">
        <v>196</v>
      </c>
      <c r="B198" s="11" t="s">
        <v>1619</v>
      </c>
      <c r="C198" s="12" t="s">
        <v>1620</v>
      </c>
      <c r="D198" s="12" t="s">
        <v>1621</v>
      </c>
      <c r="E198" s="13" t="s">
        <v>1622</v>
      </c>
      <c r="F198" s="13" t="s">
        <v>18</v>
      </c>
      <c r="G198" s="13" t="s">
        <v>195</v>
      </c>
      <c r="H198" s="15" t="s">
        <v>97</v>
      </c>
      <c r="I198" s="13" t="s">
        <v>1623</v>
      </c>
      <c r="J198" s="13" t="s">
        <v>1624</v>
      </c>
      <c r="K198" s="13" t="s">
        <v>1625</v>
      </c>
      <c r="L198" s="13" t="s">
        <v>1626</v>
      </c>
      <c r="M198" s="13" t="s">
        <v>1627</v>
      </c>
    </row>
    <row r="199" customFormat="false" ht="45.75" hidden="false" customHeight="true" outlineLevel="0" collapsed="false">
      <c r="A199" s="5" t="n">
        <v>197</v>
      </c>
      <c r="B199" s="6" t="s">
        <v>1628</v>
      </c>
      <c r="C199" s="7" t="s">
        <v>1629</v>
      </c>
      <c r="D199" s="7" t="s">
        <v>1630</v>
      </c>
      <c r="E199" s="8" t="s">
        <v>1631</v>
      </c>
      <c r="F199" s="8" t="s">
        <v>228</v>
      </c>
      <c r="G199" s="8" t="s">
        <v>149</v>
      </c>
      <c r="H199" s="9" t="s">
        <v>20</v>
      </c>
      <c r="I199" s="8" t="s">
        <v>1632</v>
      </c>
      <c r="J199" s="8" t="s">
        <v>1633</v>
      </c>
      <c r="K199" s="8" t="s">
        <v>1634</v>
      </c>
      <c r="L199" s="8" t="s">
        <v>1635</v>
      </c>
      <c r="M199" s="8" t="s">
        <v>1636</v>
      </c>
    </row>
    <row r="200" customFormat="false" ht="45.75" hidden="false" customHeight="true" outlineLevel="0" collapsed="false">
      <c r="A200" s="10" t="n">
        <v>198</v>
      </c>
      <c r="B200" s="11" t="s">
        <v>1637</v>
      </c>
      <c r="C200" s="12" t="s">
        <v>1638</v>
      </c>
      <c r="D200" s="12" t="s">
        <v>1639</v>
      </c>
      <c r="E200" s="13" t="s">
        <v>1578</v>
      </c>
      <c r="F200" s="13" t="s">
        <v>186</v>
      </c>
      <c r="G200" s="13" t="s">
        <v>237</v>
      </c>
      <c r="H200" s="16" t="s">
        <v>169</v>
      </c>
      <c r="I200" s="13" t="s">
        <v>1640</v>
      </c>
      <c r="J200" s="13" t="s">
        <v>1641</v>
      </c>
      <c r="K200" s="13" t="s">
        <v>1642</v>
      </c>
      <c r="L200" s="13" t="s">
        <v>1643</v>
      </c>
      <c r="M200" s="13" t="s">
        <v>1644</v>
      </c>
    </row>
    <row r="201" customFormat="false" ht="45.75" hidden="false" customHeight="true" outlineLevel="0" collapsed="false">
      <c r="A201" s="5" t="n">
        <v>199</v>
      </c>
      <c r="B201" s="6" t="s">
        <v>1645</v>
      </c>
      <c r="C201" s="7" t="s">
        <v>1646</v>
      </c>
      <c r="D201" s="7" t="s">
        <v>1647</v>
      </c>
      <c r="E201" s="8" t="s">
        <v>1648</v>
      </c>
      <c r="F201" s="8" t="s">
        <v>18</v>
      </c>
      <c r="G201" s="8" t="s">
        <v>195</v>
      </c>
      <c r="H201" s="15" t="s">
        <v>97</v>
      </c>
      <c r="I201" s="8" t="s">
        <v>1649</v>
      </c>
      <c r="J201" s="8" t="s">
        <v>1650</v>
      </c>
      <c r="K201" s="8" t="s">
        <v>1651</v>
      </c>
      <c r="L201" s="8" t="s">
        <v>1652</v>
      </c>
      <c r="M201" s="8" t="s">
        <v>1653</v>
      </c>
    </row>
    <row r="202" customFormat="false" ht="45.75" hidden="false" customHeight="true" outlineLevel="0" collapsed="false">
      <c r="A202" s="10" t="n">
        <v>200</v>
      </c>
      <c r="B202" s="11" t="s">
        <v>1654</v>
      </c>
      <c r="C202" s="12" t="s">
        <v>1655</v>
      </c>
      <c r="D202" s="12" t="s">
        <v>1656</v>
      </c>
      <c r="E202" s="13" t="s">
        <v>1657</v>
      </c>
      <c r="F202" s="13" t="s">
        <v>18</v>
      </c>
      <c r="G202" s="13" t="s">
        <v>195</v>
      </c>
      <c r="H202" s="15" t="s">
        <v>97</v>
      </c>
      <c r="I202" s="13" t="s">
        <v>1658</v>
      </c>
      <c r="J202" s="13" t="s">
        <v>1659</v>
      </c>
      <c r="K202" s="13" t="s">
        <v>1660</v>
      </c>
      <c r="L202" s="13" t="s">
        <v>1661</v>
      </c>
      <c r="M202" s="13" t="s">
        <v>1662</v>
      </c>
    </row>
  </sheetData>
  <mergeCells count="1">
    <mergeCell ref="A1:M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3" min="2" style="1" width="13"/>
    <col collapsed="false" customWidth="true" hidden="false" outlineLevel="0" max="4" min="4" style="1" width="32"/>
    <col collapsed="false" customWidth="true" hidden="false" outlineLevel="0" max="5" min="5" style="1" width="4"/>
    <col collapsed="false" customWidth="true" hidden="false" outlineLevel="0" max="6" min="6" style="1" width="20"/>
    <col collapsed="false" customWidth="true" hidden="false" outlineLevel="0" max="8" min="7" style="1" width="13"/>
    <col collapsed="false" customWidth="true" hidden="false" outlineLevel="0" max="9" min="9" style="1" width="34"/>
  </cols>
  <sheetData>
    <row r="1" customFormat="false" ht="30" hidden="false" customHeight="true" outlineLevel="0" collapsed="false">
      <c r="A1" s="17" t="s">
        <v>1663</v>
      </c>
      <c r="B1" s="17"/>
      <c r="C1" s="17"/>
      <c r="D1" s="17"/>
      <c r="E1" s="17"/>
      <c r="F1" s="17"/>
      <c r="G1" s="17"/>
      <c r="H1" s="17"/>
      <c r="I1" s="17"/>
    </row>
    <row r="2" customFormat="false" ht="24" hidden="false" customHeight="true" outlineLevel="0" collapsed="false">
      <c r="A2" s="18" t="s">
        <v>6</v>
      </c>
      <c r="B2" s="18" t="s">
        <v>1664</v>
      </c>
      <c r="C2" s="18" t="s">
        <v>1665</v>
      </c>
      <c r="D2" s="18" t="s">
        <v>1666</v>
      </c>
      <c r="F2" s="18" t="s">
        <v>1667</v>
      </c>
      <c r="G2" s="18" t="s">
        <v>1664</v>
      </c>
      <c r="H2" s="18" t="s">
        <v>1665</v>
      </c>
      <c r="I2" s="18" t="s">
        <v>1668</v>
      </c>
    </row>
    <row r="3" customFormat="false" ht="24" hidden="false" customHeight="true" outlineLevel="0" collapsed="false">
      <c r="A3" s="19" t="s">
        <v>18</v>
      </c>
      <c r="B3" s="20" t="n">
        <f aca="false">COUNTIF(200核心原型转译主库!$F$3:$F$202, "①都会基建与山海物候域")</f>
        <v>90</v>
      </c>
      <c r="C3" s="21" t="n">
        <f aca="false">B3/$B$9</f>
        <v>0.45</v>
      </c>
      <c r="D3" s="22" t="s">
        <v>1669</v>
      </c>
      <c r="F3" s="19" t="s">
        <v>20</v>
      </c>
      <c r="G3" s="20" t="n">
        <f aca="false">COUNTIF(200核心原型转译主库!$H$3:$H$202, "【本草态】协同增益")</f>
        <v>42</v>
      </c>
      <c r="H3" s="21" t="n">
        <f aca="false">G3/$G$7</f>
        <v>0.21</v>
      </c>
      <c r="I3" s="22" t="s">
        <v>1670</v>
      </c>
    </row>
    <row r="4" customFormat="false" ht="24" hidden="false" customHeight="true" outlineLevel="0" collapsed="false">
      <c r="A4" s="19" t="s">
        <v>54</v>
      </c>
      <c r="B4" s="20" t="n">
        <f aca="false">COUNTIF(200核心原型转译主库!$F$3:$F$202, "②数码器物与智能宅精域")</f>
        <v>12</v>
      </c>
      <c r="C4" s="21" t="n">
        <f aca="false">B4/$B$9</f>
        <v>0.06</v>
      </c>
      <c r="D4" s="22" t="s">
        <v>1671</v>
      </c>
      <c r="F4" s="19" t="s">
        <v>46</v>
      </c>
      <c r="G4" s="20" t="n">
        <f aca="false">COUNTIF(200核心原型转译主库!$H$3:$H$202, "【白泽态】呼名可控")</f>
        <v>19</v>
      </c>
      <c r="H4" s="21" t="n">
        <f aca="false">G4/$G$7</f>
        <v>0.095</v>
      </c>
      <c r="I4" s="22" t="s">
        <v>1672</v>
      </c>
    </row>
    <row r="5" customFormat="false" ht="24" hidden="false" customHeight="true" outlineLevel="0" collapsed="false">
      <c r="A5" s="19" t="s">
        <v>37</v>
      </c>
      <c r="B5" s="20" t="n">
        <f aca="false">COUNTIF(200核心原型转译主库!$F$3:$F$202, "③内景身神与身心医疗域")</f>
        <v>9</v>
      </c>
      <c r="C5" s="21" t="n">
        <f aca="false">B5/$B$9</f>
        <v>0.045</v>
      </c>
      <c r="D5" s="22" t="s">
        <v>1673</v>
      </c>
      <c r="F5" s="19" t="s">
        <v>97</v>
      </c>
      <c r="G5" s="20" t="n">
        <f aca="false">COUNTIF(200核心原型转译主库!$H$3:$H$202, "【夷坚态】契约混居")</f>
        <v>117</v>
      </c>
      <c r="H5" s="21" t="n">
        <f aca="false">G5/$G$7</f>
        <v>0.585</v>
      </c>
      <c r="I5" s="22" t="s">
        <v>1674</v>
      </c>
    </row>
    <row r="6" customFormat="false" ht="24" hidden="false" customHeight="true" outlineLevel="0" collapsed="false">
      <c r="A6" s="19" t="s">
        <v>167</v>
      </c>
      <c r="B6" s="20" t="n">
        <f aca="false">COUNTIF(200核心原型转译主库!$F$3:$F$202, "④金融商业与契约风控域")</f>
        <v>8</v>
      </c>
      <c r="C6" s="21" t="n">
        <f aca="false">B6/$B$9</f>
        <v>0.04</v>
      </c>
      <c r="D6" s="22" t="s">
        <v>1675</v>
      </c>
      <c r="F6" s="19" t="s">
        <v>169</v>
      </c>
      <c r="G6" s="20" t="n">
        <f aca="false">COUNTIF(200核心原型转译主库!$H$3:$H$202, "【神霄态】考召收编")</f>
        <v>22</v>
      </c>
      <c r="H6" s="21" t="n">
        <f aca="false">G6/$G$7</f>
        <v>0.11</v>
      </c>
      <c r="I6" s="22" t="s">
        <v>1676</v>
      </c>
    </row>
    <row r="7" customFormat="false" ht="24" hidden="false" customHeight="true" outlineLevel="0" collapsed="false">
      <c r="A7" s="19" t="s">
        <v>228</v>
      </c>
      <c r="B7" s="20" t="n">
        <f aca="false">COUNTIF(200核心原型转译主库!$F$3:$F$202, "⑤历史英灵与市政网格域")</f>
        <v>62</v>
      </c>
      <c r="C7" s="21" t="n">
        <f aca="false">B7/$B$9</f>
        <v>0.31</v>
      </c>
      <c r="D7" s="22" t="s">
        <v>1677</v>
      </c>
      <c r="F7" s="23" t="s">
        <v>1678</v>
      </c>
      <c r="G7" s="24" t="n">
        <f aca="false">SUM(G3:G6)</f>
        <v>200</v>
      </c>
      <c r="H7" s="25" t="n">
        <f aca="false">SUM(H3:H6)</f>
        <v>1</v>
      </c>
      <c r="I7" s="23" t="s">
        <v>1679</v>
      </c>
    </row>
    <row r="8" customFormat="false" ht="24" hidden="false" customHeight="true" outlineLevel="0" collapsed="false">
      <c r="A8" s="19" t="s">
        <v>186</v>
      </c>
      <c r="B8" s="20" t="n">
        <f aca="false">COUNTIF(200核心原型转译主库!$F$3:$F$202, "⑥天条星官与规则法宝域")</f>
        <v>19</v>
      </c>
      <c r="C8" s="21" t="n">
        <f aca="false">B8/$B$9</f>
        <v>0.095</v>
      </c>
      <c r="D8" s="22" t="s">
        <v>1680</v>
      </c>
    </row>
    <row r="9" customFormat="false" ht="25.5" hidden="false" customHeight="true" outlineLevel="0" collapsed="false">
      <c r="A9" s="23" t="s">
        <v>1681</v>
      </c>
      <c r="B9" s="24" t="n">
        <f aca="false">SUM(B3:B8)</f>
        <v>200</v>
      </c>
      <c r="C9" s="25" t="n">
        <f aca="false">SUM(C3:C8)</f>
        <v>1</v>
      </c>
      <c r="D9" s="23" t="s">
        <v>1682</v>
      </c>
    </row>
  </sheetData>
  <mergeCells count="1">
    <mergeCell ref="A1:I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3"/>
    <col collapsed="false" customWidth="true" hidden="false" outlineLevel="0" max="3" min="3" style="0" width="12"/>
    <col collapsed="false" customWidth="true" hidden="false" outlineLevel="0" max="4" min="4" style="0" width="34"/>
    <col collapsed="false" customWidth="true" hidden="false" outlineLevel="0" max="5" min="5" style="0" width="38"/>
  </cols>
  <sheetData>
    <row r="1" customFormat="false" ht="30" hidden="false" customHeight="true" outlineLevel="0" collapsed="false">
      <c r="A1" s="17" t="s">
        <v>1683</v>
      </c>
      <c r="B1" s="17"/>
      <c r="C1" s="17"/>
      <c r="D1" s="17"/>
      <c r="E1" s="17"/>
    </row>
    <row r="2" customFormat="false" ht="24" hidden="false" customHeight="true" outlineLevel="0" collapsed="false">
      <c r="A2" s="26" t="s">
        <v>1684</v>
      </c>
      <c r="B2" s="27" t="s">
        <v>1685</v>
      </c>
      <c r="C2" s="26" t="s">
        <v>1686</v>
      </c>
      <c r="D2" s="26" t="s">
        <v>1687</v>
      </c>
      <c r="E2" s="26" t="s">
        <v>1688</v>
      </c>
    </row>
    <row r="3" customFormat="false" ht="37.5" hidden="false" customHeight="true" outlineLevel="0" collapsed="false">
      <c r="A3" s="28" t="s">
        <v>195</v>
      </c>
      <c r="B3" s="29" t="n">
        <f aca="false">COUNTIF(200核心原型转译主库!$G$3:$G$202, "机制一：层累叠压与现代转岗")</f>
        <v>56</v>
      </c>
      <c r="C3" s="30" t="n">
        <f aca="false">B3/$B$9</f>
        <v>0.28</v>
      </c>
      <c r="D3" s="31" t="s">
        <v>1689</v>
      </c>
      <c r="E3" s="31" t="s">
        <v>1690</v>
      </c>
    </row>
    <row r="4" customFormat="false" ht="37.5" hidden="false" customHeight="true" outlineLevel="0" collapsed="false">
      <c r="A4" s="32" t="s">
        <v>149</v>
      </c>
      <c r="B4" s="33" t="n">
        <f aca="false">COUNTIF(200核心原型转译主库!$G$3:$G$202, "机制二：凡人立德与百工封神")</f>
        <v>64</v>
      </c>
      <c r="C4" s="34" t="n">
        <f aca="false">B4/$B$9</f>
        <v>0.32</v>
      </c>
      <c r="D4" s="35" t="s">
        <v>1691</v>
      </c>
      <c r="E4" s="35" t="s">
        <v>1692</v>
      </c>
    </row>
    <row r="5" customFormat="false" ht="37.5" hidden="false" customHeight="true" outlineLevel="0" collapsed="false">
      <c r="A5" s="28" t="s">
        <v>168</v>
      </c>
      <c r="B5" s="29" t="n">
        <f aca="false">COUNTIF(200核心原型转译主库!$G$3:$G$202, "机制三：雷法收编与市政外包")</f>
        <v>8</v>
      </c>
      <c r="C5" s="30" t="n">
        <f aca="false">B5/$B$9</f>
        <v>0.04</v>
      </c>
      <c r="D5" s="31" t="s">
        <v>1693</v>
      </c>
      <c r="E5" s="31" t="s">
        <v>1694</v>
      </c>
    </row>
    <row r="6" customFormat="false" ht="37.5" hidden="false" customHeight="true" outlineLevel="0" collapsed="false">
      <c r="A6" s="32" t="s">
        <v>19</v>
      </c>
      <c r="B6" s="33" t="n">
        <f aca="false">COUNTIF(200核心原型转译主库!$G$3:$G$202, "机制四：积气成魅与呼名祝由")</f>
        <v>41</v>
      </c>
      <c r="C6" s="34" t="n">
        <f aca="false">B6/$B$9</f>
        <v>0.205</v>
      </c>
      <c r="D6" s="35" t="s">
        <v>1695</v>
      </c>
      <c r="E6" s="35" t="s">
        <v>1696</v>
      </c>
    </row>
    <row r="7" customFormat="false" ht="37.5" hidden="false" customHeight="true" outlineLevel="0" collapsed="false">
      <c r="A7" s="28" t="s">
        <v>237</v>
      </c>
      <c r="B7" s="29" t="n">
        <f aca="false">COUNTIF(200核心原型转译主库!$G$3:$G$202, "机制五：图文互训与迷因形讹")</f>
        <v>10</v>
      </c>
      <c r="C7" s="30" t="n">
        <f aca="false">B7/$B$9</f>
        <v>0.05</v>
      </c>
      <c r="D7" s="31" t="s">
        <v>1697</v>
      </c>
      <c r="E7" s="31" t="s">
        <v>1698</v>
      </c>
    </row>
    <row r="8" customFormat="false" ht="37.5" hidden="false" customHeight="true" outlineLevel="0" collapsed="false">
      <c r="A8" s="32" t="s">
        <v>140</v>
      </c>
      <c r="B8" s="33" t="n">
        <f aca="false">COUNTIF(200核心原型转译主库!$G$3:$G$202, "机制六：跨文化三教涵化")</f>
        <v>21</v>
      </c>
      <c r="C8" s="34" t="n">
        <f aca="false">B8/$B$9</f>
        <v>0.105</v>
      </c>
      <c r="D8" s="35" t="s">
        <v>1699</v>
      </c>
      <c r="E8" s="35" t="s">
        <v>1700</v>
      </c>
    </row>
    <row r="9" customFormat="false" ht="25.5" hidden="false" customHeight="true" outlineLevel="0" collapsed="false">
      <c r="A9" s="36" t="s">
        <v>1701</v>
      </c>
      <c r="B9" s="24" t="n">
        <f aca="false">SUM(B3:B8)</f>
        <v>200</v>
      </c>
      <c r="C9" s="25" t="n">
        <f aca="false">SUM(C3:C8)</f>
        <v>1</v>
      </c>
      <c r="D9" s="36" t="s">
        <v>1702</v>
      </c>
      <c r="E9" s="36" t="s">
        <v>1703</v>
      </c>
    </row>
  </sheetData>
  <mergeCells count="1">
    <mergeCell ref="A1:E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2026-10-14T11:55:58Z</dcterms:created>
  <dc:creator>openpyxl</dc:creator>
  <dc:description/>
  <dc:language>en-US</dc:language>
  <cp:lastModifiedBy/>
  <dcterms:modified xsi:type="dcterms:W3CDTF">2026-10-14T11:59:51Z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